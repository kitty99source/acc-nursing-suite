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NS04-NS05 Approvals" sheetId="2" state="visible" r:id="rId4"/>
    <sheet name="Billing Log" sheetId="3" state="visible" r:id="rId5"/>
    <sheet name="Year Summary" sheetId="4" state="visible" r:id="rId6"/>
    <sheet name="Complex Cases" sheetId="5" state="visible" r:id="rId7"/>
    <sheet name="Decline Tracker" sheetId="6" state="visible" r:id="rId8"/>
  </sheets>
  <definedNames>
    <definedName function="false" hidden="false" localSheetId="1" name="CLAIMANT_NAME" vbProcedure="false">'ns04-ns05 approvals'!#ref!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<sst xmlns="http://schemas.openxmlformats.org/spreadsheetml/2006/main" count="559" uniqueCount="218">
  <si>
    <t xml:space="preserve">ACC Nursing Services Toolkit</t>
  </si>
  <si>
    <t xml:space="preserve">Built for tracking ACC district nursing billing, approvals, complex cases and declines</t>
  </si>
  <si>
    <t xml:space="preserve">Tab</t>
  </si>
  <si>
    <t xml:space="preserve">What it's for</t>
  </si>
  <si>
    <t xml:space="preserve">Billing Log</t>
  </si>
  <si>
    <t xml:space="preserve">Paste your CSV/PMS export here each time. This is the single source of truth — every other sheet reads from it.</t>
  </si>
  <si>
    <t xml:space="preserve">Year Summary</t>
  </si>
  <si>
    <t xml:space="preserve">Auto-calculated monthly totals: invoiced vs paid, split into Packages (NS01-03) and NS04/NS05/NS06. Updates automatically from Billing Log.</t>
  </si>
  <si>
    <t xml:space="preserve">NS04-NS05 Approvals</t>
  </si>
  <si>
    <t xml:space="preserve">Manual tracker for Extended Nursing and Ongoing Nursing approvals — the ones that need ACC approval and expire. Salmon-flags anything expiring within a month.</t>
  </si>
  <si>
    <t xml:space="preserve">Complex Cases</t>
  </si>
  <si>
    <t xml:space="preserve">Free-form log for the 'weird' cases — what's unusual, what was decided, who decided it, and what to follow up on.</t>
  </si>
  <si>
    <t xml:space="preserve">Decline Tracker</t>
  </si>
  <si>
    <t xml:space="preserve">Tracks decline letters: date received, period/reason declined, who you've notified, and resubmission status.</t>
  </si>
  <si>
    <t xml:space="preserve">How the Billing Log works</t>
  </si>
  <si>
    <t xml:space="preserve">1.</t>
  </si>
  <si>
    <t xml:space="preserve">Export your billing data from your PMS or the ACC eBusiness portal.</t>
  </si>
  <si>
    <t xml:space="preserve">2.</t>
  </si>
  <si>
    <t xml:space="preserve">Paste rows into the Billing Log tab starting at row 2, or append below existing rows.</t>
  </si>
  <si>
    <t xml:space="preserve">3.</t>
  </si>
  <si>
    <t xml:space="preserve">Set Status (dropdown): Awaiting Billing, Billed, or Remittance (payment chased/overdue). Awaiting Billing and Remittance rows highlight salmon as a follow-up flag; Billed highlights green.</t>
  </si>
  <si>
    <t xml:space="preserve">4.</t>
  </si>
  <si>
    <t xml:space="preserve">Year Summary updates automatically. No formulas to touch.</t>
  </si>
  <si>
    <t xml:space="preserve">Note on NS06</t>
  </si>
  <si>
    <t xml:space="preserve">No separate approval tracker for NS06 (Subsequent Injury) — it doesn't need ACC approval, just GP notification before billing. It still flows through Billing Log and the Year Summary like everything else.</t>
  </si>
  <si>
    <t xml:space="preserve">Note on Chase List</t>
  </si>
  <si>
    <t xml:space="preserve">Not included in this version — you mentioned remittances aren't yet part of your workflow, so this was left out until it's useful. Easy to add back in later.</t>
  </si>
  <si>
    <t xml:space="preserve">NS04 / NS05 Current Approval Tracker</t>
  </si>
  <si>
    <t xml:space="preserve">Manual entry. Only patients on Extended Nursing (NS04) or Ongoing Nursing (NS05) — the services that need ACC approval and expire. Row highlights salmon when expiry is within a month, so you know to follow up.</t>
  </si>
  <si>
    <t xml:space="preserve">Patient Name</t>
  </si>
  <si>
    <t xml:space="preserve">Patient NHI</t>
  </si>
  <si>
    <t xml:space="preserve">Patient DOB</t>
  </si>
  <si>
    <t xml:space="preserve">Claim Number</t>
  </si>
  <si>
    <t xml:space="preserve">ACC45 Number</t>
  </si>
  <si>
    <t xml:space="preserve">Service Code</t>
  </si>
  <si>
    <t xml:space="preserve">Approval Start Date</t>
  </si>
  <si>
    <t xml:space="preserve">Approval End Date / PO Expiry</t>
  </si>
  <si>
    <t xml:space="preserve">Approved Hours/Consults</t>
  </si>
  <si>
    <t xml:space="preserve">Days Until Expiry</t>
  </si>
  <si>
    <t xml:space="preserve">Status</t>
  </si>
  <si>
    <t xml:space="preserve">ACC Emailed Renewal Date</t>
  </si>
  <si>
    <t xml:space="preserve">PO Number</t>
  </si>
  <si>
    <t xml:space="preserve">Notes</t>
  </si>
  <si>
    <t xml:space="preserve">Grace Whaanga</t>
  </si>
  <si>
    <t xml:space="preserve">GRW4821</t>
  </si>
  <si>
    <t xml:space="preserve">AB12345</t>
  </si>
  <si>
    <t xml:space="preserve">NS05</t>
  </si>
  <si>
    <t xml:space="preserve">6 hours p/month</t>
  </si>
  <si>
    <t xml:space="preserve">Permanent nursing need, T12 spinal injury - hourly rate ongoing care</t>
  </si>
  <si>
    <t xml:space="preserve">Terry Ah Chong</t>
  </si>
  <si>
    <t xml:space="preserve">TAC5567</t>
  </si>
  <si>
    <t xml:space="preserve">CD22187</t>
  </si>
  <si>
    <t xml:space="preserve">NS04</t>
  </si>
  <si>
    <t xml:space="preserve">Approval requested early while still on NS03 pkg (was on visit 19 at approval date). Risk period lapses before 26th visit reached - as of 01/07 client on visit 24. Monitor closely.</t>
  </si>
  <si>
    <t xml:space="preserve">Priya Naidu</t>
  </si>
  <si>
    <t xml:space="preserve">PRN9034</t>
  </si>
  <si>
    <t xml:space="preserve">EF33219</t>
  </si>
  <si>
    <t xml:space="preserve">Further extension requested 20/06/26, initially declined - resubmitted, awaiting ACC response, see Decline Tracker</t>
  </si>
  <si>
    <t xml:space="preserve">Wiremu Delamere</t>
  </si>
  <si>
    <t xml:space="preserve">WDL6612</t>
  </si>
  <si>
    <t xml:space="preserve">GH44556</t>
  </si>
  <si>
    <t xml:space="preserve">8 hours p/month</t>
  </si>
  <si>
    <t xml:space="preserve">Also receiving ACC Home Help support concurrently - overlapping services, consent on file, see Complex Cases</t>
  </si>
  <si>
    <t xml:space="preserve">Fa'amatuainu Petelo</t>
  </si>
  <si>
    <t xml:space="preserve">FAP7788</t>
  </si>
  <si>
    <t xml:space="preserve">IJ55678</t>
  </si>
  <si>
    <t xml:space="preserve">Straightforward wound care extension, healing well</t>
  </si>
  <si>
    <t xml:space="preserve">Chevonne Ngata-Reid</t>
  </si>
  <si>
    <t xml:space="preserve">CNR3345</t>
  </si>
  <si>
    <t xml:space="preserve">KL66789</t>
  </si>
  <si>
    <t xml:space="preserve">3 hours p/month</t>
  </si>
  <si>
    <t xml:space="preserve">Ongoing care for original injury + new subsequent shoulder injury lodged this month, see Complex Cases</t>
  </si>
  <si>
    <t xml:space="preserve">Duc Minh Pham</t>
  </si>
  <si>
    <t xml:space="preserve">DMP2211</t>
  </si>
  <si>
    <t xml:space="preserve">MN77890</t>
  </si>
  <si>
    <t xml:space="preserve">Consequential sacral pressure injury identified, new ACC45 lodged 18/06/26, see Complex Cases</t>
  </si>
  <si>
    <t xml:space="preserve">Ashleigh Broughton</t>
  </si>
  <si>
    <t xml:space="preserve">ASB8890</t>
  </si>
  <si>
    <t xml:space="preserve">OP88901</t>
  </si>
  <si>
    <t xml:space="preserve">Transferred from previous supplier 20/05/26 mid-package - PO not yet issued, invoicing on hold, see Complex Cases</t>
  </si>
  <si>
    <t xml:space="preserve">Rongomai Tapsell</t>
  </si>
  <si>
    <t xml:space="preserve">RGT1123</t>
  </si>
  <si>
    <t xml:space="preserve">QR99012</t>
  </si>
  <si>
    <t xml:space="preserve">4 hours p/month</t>
  </si>
  <si>
    <t xml:space="preserve">Renewal declined - hours reduction disputed, see Decline Tracker</t>
  </si>
  <si>
    <t xml:space="preserve">Sela Fifita</t>
  </si>
  <si>
    <t xml:space="preserve">SLF4456</t>
  </si>
  <si>
    <t xml:space="preserve">ST00123</t>
  </si>
  <si>
    <t xml:space="preserve">NS06 subsequent injury treatments also declined over 50-treatment cap, see Decline Tracker</t>
  </si>
  <si>
    <t xml:space="preserve">Status: auto-calculated label — 'Active' (more than 30 days left), 'Expiring Soon' (within 30 days, also triggers the salmon row highlight), or 'EXPIRED' (past the end date and not yet renewed).</t>
  </si>
  <si>
    <t xml:space="preserve">Purchase Order Number</t>
  </si>
  <si>
    <t xml:space="preserve">Invoice Sheet</t>
  </si>
  <si>
    <t xml:space="preserve">Invoice Date</t>
  </si>
  <si>
    <t xml:space="preserve">Amount Invoiced</t>
  </si>
  <si>
    <t xml:space="preserve">Date Paid</t>
  </si>
  <si>
    <t xml:space="preserve">Amount Paid</t>
  </si>
  <si>
    <t xml:space="preserve">Invoice Sheet = the name/label of your invoicing report, e.g. EXTMAR26 for Extension March 2026 invoicing. Invoice Date = the actual date you billed it, used by Year Summary to bucket totals by month.</t>
  </si>
  <si>
    <t xml:space="preserve">ONGOINGJAN26</t>
  </si>
  <si>
    <t xml:space="preserve">Billed</t>
  </si>
  <si>
    <t xml:space="preserve">ONGOINGFEB26</t>
  </si>
  <si>
    <t xml:space="preserve">ONGOINGMAR26</t>
  </si>
  <si>
    <t xml:space="preserve">ONGOINGAPR26</t>
  </si>
  <si>
    <t xml:space="preserve">ONGOINGMAY26</t>
  </si>
  <si>
    <t xml:space="preserve">ONGOINGJUN26</t>
  </si>
  <si>
    <t xml:space="preserve">NS03</t>
  </si>
  <si>
    <t xml:space="preserve">PKGJUN26</t>
  </si>
  <si>
    <t xml:space="preserve">NS03 Long Term package - covers visits 1-25</t>
  </si>
  <si>
    <t xml:space="preserve">EXTJUN26</t>
  </si>
  <si>
    <t xml:space="preserve">Awaiting Billing</t>
  </si>
  <si>
    <t xml:space="preserve">First Extended Nursing consult - visit 26</t>
  </si>
  <si>
    <t xml:space="preserve">EXTJUL26</t>
  </si>
  <si>
    <t xml:space="preserve">Visit 27</t>
  </si>
  <si>
    <t xml:space="preserve">EXTJAN26</t>
  </si>
  <si>
    <t xml:space="preserve">EXTFEB26</t>
  </si>
  <si>
    <t xml:space="preserve">EXTMAR26</t>
  </si>
  <si>
    <t xml:space="preserve">EXTAPR26</t>
  </si>
  <si>
    <t xml:space="preserve">Remittance</t>
  </si>
  <si>
    <t xml:space="preserve">Payment overdue - claim under review pending extension decision</t>
  </si>
  <si>
    <t xml:space="preserve">EXTMAY26</t>
  </si>
  <si>
    <t xml:space="preserve">NS06</t>
  </si>
  <si>
    <t xml:space="preserve">SUBJUN26</t>
  </si>
  <si>
    <t xml:space="preserve">First treatment for new shoulder subsequent injury - GP notified, no approval required</t>
  </si>
  <si>
    <t xml:space="preserve">PKGMAY26</t>
  </si>
  <si>
    <t xml:space="preserve">NS03 package for original hip fracture</t>
  </si>
  <si>
    <t xml:space="preserve">Extended Nursing incl. consequential pressure injury wound care</t>
  </si>
  <si>
    <t xml:space="preserve">EXTJUN26B</t>
  </si>
  <si>
    <t xml:space="preserve">ONGOINGOCT25</t>
  </si>
  <si>
    <t xml:space="preserve">ONGOINGNOV25</t>
  </si>
  <si>
    <t xml:space="preserve">ONGOINGDEC25</t>
  </si>
  <si>
    <t xml:space="preserve">SUBJAN26</t>
  </si>
  <si>
    <t xml:space="preserve">Treatment count approaching 50-cap - see Decline Tracker</t>
  </si>
  <si>
    <t xml:space="preserve">SUBFEB26</t>
  </si>
  <si>
    <t xml:space="preserve">SUBMAR26</t>
  </si>
  <si>
    <t xml:space="preserve">SUBAPR26</t>
  </si>
  <si>
    <t xml:space="preserve">SUBMAY26</t>
  </si>
  <si>
    <t xml:space="preserve">Emere Katene</t>
  </si>
  <si>
    <t xml:space="preserve">EMK1290</t>
  </si>
  <si>
    <t xml:space="preserve">NS01</t>
  </si>
  <si>
    <t xml:space="preserve">Baljeet Singh</t>
  </si>
  <si>
    <t xml:space="preserve">BJS7743</t>
  </si>
  <si>
    <t xml:space="preserve">NS02</t>
  </si>
  <si>
    <t xml:space="preserve">Auto-calculated from Billing Log — invoiced and paid totals by month, split by service group</t>
  </si>
  <si>
    <t xml:space="preserve">Month</t>
  </si>
  <si>
    <t xml:space="preserve">Packages (NS01-03)</t>
  </si>
  <si>
    <t xml:space="preserve">Invoiced</t>
  </si>
  <si>
    <t xml:space="preserve">Paid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</si>
  <si>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</si>
  <si>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</si>
  <si>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</si>
  <si>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</si>
  <si>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</si>
  <si>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</si>
  <si>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</si>
  <si>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</si>
  <si>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</si>
  <si>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</si>
  <si>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</si>
  <si>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</si>
  <si>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</si>
  <si>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Note: Invoiced totals are bucketed by Invoice Date; Paid totals are bucketed by Date Paid. So a month's 'Invoiced' figure reflects what you billed that month, and 'Paid' reflects what actually came in that month, even if it relates to an invoice billed earlier.</t>
  </si>
  <si>
    <t xml:space="preserve">Complex / Weird Cases Log</t>
  </si>
  <si>
    <t xml:space="preserve">Free-form log so you don't have to re-research a tricky case from scratch each time</t>
  </si>
  <si>
    <t xml:space="preserve">Date Logged</t>
  </si>
  <si>
    <t xml:space="preserve">What's Unusual</t>
  </si>
  <si>
    <t xml:space="preserve">Decision Made</t>
  </si>
  <si>
    <t xml:space="preserve">Decided By</t>
  </si>
  <si>
    <t xml:space="preserve">Date Decided</t>
  </si>
  <si>
    <t xml:space="preserve">Follow-up Needed</t>
  </si>
  <si>
    <t xml:space="preserve">Next Review Date</t>
  </si>
  <si>
    <t xml:space="preserve">NS04 approval granted while client still on visit 19 of NS03 package - approval window (10/06-10/07) may lapse before the 26th visit is reached, meaning approved units go unused and a fresh request is needed</t>
  </si>
  <si>
    <t xml:space="preserve">Flagged to ACC recovery team to confirm approach; continuing to monitor visit count weekly against approval end date</t>
  </si>
  <si>
    <t xml:space="preserve">S. Harrison (ACC Recovery Team)</t>
  </si>
  <si>
    <t xml:space="preserve">Yes</t>
  </si>
  <si>
    <t xml:space="preserve">Monitoring</t>
  </si>
  <si>
    <t xml:space="preserve">As of 01/07, client on visit 24. If 26th visit not reached by 10/07, new ACC179 required.</t>
  </si>
  <si>
    <t xml:space="preserve">Client also receiving ACC-funded Home Help support concurrently with Ongoing Nursing</t>
  </si>
  <si>
    <t xml:space="preserve">Informed consent obtained from client, both services confirmed able to run concurrently</t>
  </si>
  <si>
    <t xml:space="preserve">Case Owner</t>
  </si>
  <si>
    <t xml:space="preserve">No</t>
  </si>
  <si>
    <t xml:space="preserve">Resolved</t>
  </si>
  <si>
    <t xml:space="preserve">Sacral pressure injury developed secondary to original hip fracture immobility</t>
  </si>
  <si>
    <t xml:space="preserve">Consequential injury accepted, new ACC45 lodged for pressure injury, NS04 approval extended to include wound care</t>
  </si>
  <si>
    <t xml:space="preserve">Open</t>
  </si>
  <si>
    <t xml:space="preserve">Pressure injury staging documented, dressing regime under Extended Nursing</t>
  </si>
  <si>
    <t xml:space="preserve">New shoulder injury from a fall, unrelated to original claim, sustained during a home visit</t>
  </si>
  <si>
    <t xml:space="preserve">New ACC45 lodged for Subsequent Injury; separate claim number pending from ACC</t>
  </si>
  <si>
    <t xml:space="preserve">Continue existing NS05 ongoing care under original claim while subsequent injury claim is processed</t>
  </si>
  <si>
    <t xml:space="preserve">Transferred from previous supplier mid-package; unclear how many NS03 consultations already used before transfer</t>
  </si>
  <si>
    <t xml:space="preserve">Requested clinical notes from previous supplier; ACC179 submitted for fresh NS04 approval pending confirmation of prior visit count</t>
  </si>
  <si>
    <t xml:space="preserve">PO not yet issued - do not invoice until prior visit count confirmed</t>
  </si>
  <si>
    <t xml:space="preserve">Decline Letter Tracker</t>
  </si>
  <si>
    <t xml:space="preserve">Track declines from receipt through to resubmission outcome</t>
  </si>
  <si>
    <t xml:space="preserve">Decline Received Date</t>
  </si>
  <si>
    <t xml:space="preserve">Service/Period Declined</t>
  </si>
  <si>
    <t xml:space="preserve">Reason for Decline</t>
  </si>
  <si>
    <t xml:space="preserve">Date Nurse Emailed</t>
  </si>
  <si>
    <t xml:space="preserve">Date Resubmission Requested</t>
  </si>
  <si>
    <t xml:space="preserve">Outcome</t>
  </si>
  <si>
    <t xml:space="preserve">Date Outcome Received</t>
  </si>
  <si>
    <t xml:space="preserve">NS04 further extension (20 consults requested)</t>
  </si>
  <si>
    <t xml:space="preserve">Clinical notes insufficient to justify ongoing need beyond initial 25 consults</t>
  </si>
  <si>
    <t xml:space="preserve">Pending</t>
  </si>
  <si>
    <t xml:space="preserve">Awaiting response from ACC</t>
  </si>
  <si>
    <t xml:space="preserve">Updated wound photos and GP letter attached to resubmission</t>
  </si>
  <si>
    <t xml:space="preserve">Comprehensive Nursing Assessment referral</t>
  </si>
  <si>
    <t xml:space="preserve">Referral form incomplete - missing referring GP details</t>
  </si>
  <si>
    <t xml:space="preserve">Overturned</t>
  </si>
  <si>
    <t xml:space="preserve">Accepted</t>
  </si>
  <si>
    <t xml:space="preserve">Resolved, assessment completed 02/04/26</t>
  </si>
  <si>
    <t xml:space="preserve">NS06 treatments beyond 50-treatment cap (further 10 requested)</t>
  </si>
  <si>
    <t xml:space="preserve">Cap reached, insufficient justification provided for continued subsequent injury treatment</t>
  </si>
  <si>
    <t xml:space="preserve">Awaiting nursing docs for resubmission</t>
  </si>
  <si>
    <t xml:space="preserve">GP asked to provide updated clinical justification before resubmission</t>
  </si>
  <si>
    <t xml:space="preserve">NS05 hours reduced from 4 to 2 hours p/month on renewal</t>
  </si>
  <si>
    <t xml:space="preserve">ACC clinical advisor assessed reduced need based on last Comprehensive Nursing Assessment</t>
  </si>
  <si>
    <t xml:space="preserve">Upheld</t>
  </si>
  <si>
    <t xml:space="preserve">Declined again</t>
  </si>
  <si>
    <t xml:space="preserve">Approval subsequently lapsed 10/01/26 - see NS04-NS05 Approvals tab, EXPIRED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</si>
</sst>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2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5926"/>
        </patternFill>
      </fill>
    </dxf>
    <dxf>
      <fill>
        <patternFill>
          <bgColor rgb="FFFFB099"/>
        </patternFill>
      </fill>
    </dxf>
    <dxf>
      <fill>
        <patternFill>
          <bgColor rgb="FFC6EFCE"/>
        </patternFill>
      </fill>
    </dxf>
    <dxf>
      <fill>
        <patternFill>
          <bgColor rgb="FFFF8A8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A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B099"/>
      <rgbColor rgb="FF3366FF"/>
      <rgbColor rgb="FF33CCCC"/>
      <rgbColor rgb="FF99CC00"/>
      <rgbColor rgb="FFFFCC00"/>
      <rgbColor rgb="FFFF9900"/>
      <rgbColor rgb="FFFF5926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5"/>
    </row>
    <row r="5" customFormat="false" ht="15" hidden="false" customHeight="true" outlineLevel="0" collapsed="false">
      <c r="A5" s="6" t="s">
        <v>2</v>
      </c>
      <c r="B5" s="5" t="s">
        <v>3</v>
      </c>
    </row>
    <row r="6" customFormat="false" ht="15" hidden="false" customHeight="true" outlineLevel="0" collapsed="false">
      <c r="A6" s="4" t="s">
        <v>4</v>
      </c>
      <c r="B6" s="5" t="s">
        <v>5</v>
      </c>
    </row>
    <row r="7" customFormat="false" ht="23.25" hidden="false" customHeight="true" outlineLevel="0" collapsed="false">
      <c r="A7" s="4" t="s">
        <v>6</v>
      </c>
      <c r="B7" s="5" t="s">
        <v>7</v>
      </c>
    </row>
    <row r="8" customFormat="false" ht="23.25" hidden="false" customHeight="true" outlineLevel="0" collapsed="false">
      <c r="A8" s="4" t="s">
        <v>8</v>
      </c>
      <c r="B8" s="5" t="s">
        <v>9</v>
      </c>
    </row>
    <row r="9" customFormat="false" ht="15" hidden="false" customHeight="true" outlineLevel="0" collapsed="false">
      <c r="A9" s="4" t="s">
        <v>10</v>
      </c>
      <c r="B9" s="5" t="s">
        <v>11</v>
      </c>
    </row>
    <row r="10" customFormat="false" ht="15" hidden="false" customHeight="true" outlineLevel="0" collapsed="false">
      <c r="A10" s="4" t="s">
        <v>12</v>
      </c>
      <c r="B10" s="5" t="s">
        <v>13</v>
      </c>
    </row>
    <row r="11" customFormat="false" ht="15" hidden="false" customHeight="true" outlineLevel="0" collapsed="false">
      <c r="A11" s="4"/>
      <c r="B11" s="5"/>
    </row>
    <row r="12" customFormat="false" ht="15" hidden="false" customHeight="true" outlineLevel="0" collapsed="false">
      <c r="A12" s="6" t="s">
        <v>14</v>
      </c>
      <c r="B12" s="5"/>
    </row>
    <row r="13" customFormat="false" ht="15" hidden="false" customHeight="true" outlineLevel="0" collapsed="false">
      <c r="A13" s="4" t="s">
        <v>15</v>
      </c>
      <c r="B13" s="5" t="s">
        <v>16</v>
      </c>
    </row>
    <row r="14" customFormat="false" ht="15" hidden="false" customHeight="true" outlineLevel="0" collapsed="false">
      <c r="A14" s="4" t="s">
        <v>17</v>
      </c>
      <c r="B14" s="5" t="s">
        <v>18</v>
      </c>
    </row>
    <row r="15" customFormat="false" ht="23.25" hidden="false" customHeight="true" outlineLevel="0" collapsed="false">
      <c r="A15" s="4" t="s">
        <v>19</v>
      </c>
      <c r="B15" s="5" t="s">
        <v>20</v>
      </c>
    </row>
    <row r="16" customFormat="false" ht="15" hidden="false" customHeight="true" outlineLevel="0" collapsed="false">
      <c r="A16" s="4" t="s">
        <v>21</v>
      </c>
      <c r="B16" s="5" t="s">
        <v>22</v>
      </c>
    </row>
    <row r="17" customFormat="false" ht="15" hidden="false" customHeight="true" outlineLevel="0" collapsed="false">
      <c r="A17" s="4"/>
      <c r="B17" s="5"/>
    </row>
    <row r="18" customFormat="false" ht="23.25" hidden="false" customHeight="true" outlineLevel="0" collapsed="false">
      <c r="A18" s="4" t="s">
        <v>23</v>
      </c>
      <c r="B18" s="5" t="s">
        <v>24</v>
      </c>
    </row>
    <row r="19" customFormat="false" ht="23.25" hidden="false" customHeight="true" outlineLevel="0" collapsed="false">
      <c r="A19" s="4" t="s">
        <v>25</v>
      </c>
      <c r="B19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fals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4" topLeftCell="A5" activePane="bottomLeft" state="frozen"/>
      <selection pane="topLeft" activeCell="D1" activeCellId="0" sqref="D1"/>
      <selection pane="bottomLeft" activeCell="F11" activeCellId="0" sqref="F1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17.25" hidden="false" customHeight="true" outlineLevel="0" collapsed="false">
      <c r="A1" s="7" t="s">
        <v>27</v>
      </c>
    </row>
    <row r="2" customFormat="false" ht="30" hidden="false" customHeight="true" outlineLevel="0" collapsed="false">
      <c r="A2" s="8" t="s">
        <v>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23.25" hidden="false" customHeight="true" outlineLevel="0" collapsed="false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 t="s">
        <v>40</v>
      </c>
      <c r="M4" s="9" t="s">
        <v>41</v>
      </c>
      <c r="N4" s="9" t="s">
        <v>42</v>
      </c>
    </row>
    <row r="5" customFormat="false" ht="15" hidden="false" customHeight="true" outlineLevel="0" collapsed="false">
      <c r="A5" s="10" t="s">
        <v>43</v>
      </c>
      <c r="B5" s="10" t="s">
        <v>44</v>
      </c>
      <c r="C5" s="11" t="n">
        <v>21492</v>
      </c>
      <c r="D5" s="12" t="n">
        <v>10051223456</v>
      </c>
      <c r="E5" s="10" t="s">
        <v>45</v>
      </c>
      <c r="F5" s="12" t="s">
        <v>46</v>
      </c>
      <c r="G5" s="11" t="n">
        <v>46037</v>
      </c>
      <c r="H5" s="11" t="n">
        <v>46402</v>
      </c>
      <c r="I5" s="10" t="s">
        <v>47</v>
      </c>
      <c r="J5" s="12" t="n">
        <f aca="true">IF(H5="","",H5-TODAY())</f>
        <v>197</v>
      </c>
      <c r="K5" s="12" t="str">
        <f aca="false">IF(H5="","",IF(J5&lt;0,"EXPIRED",IF(J5&lt;=30,"Expiring Soon (&lt;30 days)","Active")))</f>
        <v>Active</v>
      </c>
      <c r="L5" s="11"/>
      <c r="M5" s="1" t="n">
        <v>10004521</v>
      </c>
      <c r="N5" s="12" t="s">
        <v>48</v>
      </c>
    </row>
    <row r="6" customFormat="false" ht="15" hidden="false" customHeight="true" outlineLevel="0" collapsed="false">
      <c r="A6" s="10" t="s">
        <v>49</v>
      </c>
      <c r="B6" s="10" t="s">
        <v>50</v>
      </c>
      <c r="C6" s="11" t="n">
        <v>28989</v>
      </c>
      <c r="D6" s="12" t="n">
        <v>10052987765</v>
      </c>
      <c r="E6" s="10" t="s">
        <v>51</v>
      </c>
      <c r="F6" s="12" t="s">
        <v>52</v>
      </c>
      <c r="G6" s="11" t="n">
        <v>46183</v>
      </c>
      <c r="H6" s="13" t="n">
        <v>46213</v>
      </c>
      <c r="I6" s="12" t="n">
        <v>30</v>
      </c>
      <c r="J6" s="12" t="n">
        <f aca="true">IF(H6="","",H6-TODAY())</f>
        <v>8</v>
      </c>
      <c r="K6" s="12" t="str">
        <f aca="false">IF(H6="","",IF(J6&lt;0,"EXPIRED",IF(J6&lt;=30,"Expiring Soon (&lt;30 days)","Active")))</f>
        <v>Expiring Soon (&lt;30 days)</v>
      </c>
      <c r="L6" s="11"/>
      <c r="M6" s="14" t="n">
        <v>10005544</v>
      </c>
      <c r="N6" s="12" t="s">
        <v>53</v>
      </c>
    </row>
    <row r="7" customFormat="false" ht="15" hidden="false" customHeight="true" outlineLevel="0" collapsed="false">
      <c r="A7" s="12" t="s">
        <v>54</v>
      </c>
      <c r="B7" s="15" t="s">
        <v>55</v>
      </c>
      <c r="C7" s="11" t="n">
        <v>23801</v>
      </c>
      <c r="D7" s="12" t="n">
        <v>10048811234</v>
      </c>
      <c r="E7" s="12" t="s">
        <v>56</v>
      </c>
      <c r="F7" s="12" t="s">
        <v>52</v>
      </c>
      <c r="G7" s="11" t="n">
        <v>45992</v>
      </c>
      <c r="H7" s="11" t="n">
        <v>46174</v>
      </c>
      <c r="I7" s="12" t="n">
        <v>25</v>
      </c>
      <c r="J7" s="12" t="n">
        <f aca="true">IF(H7="","",H7-TODAY())</f>
        <v>-31</v>
      </c>
      <c r="K7" s="12" t="str">
        <f aca="false">IF(H7="","",IF(J7&lt;0,"EXPIRED",IF(J7&lt;=30,"Expiring Soon (&lt;30 days)","Active")))</f>
        <v>EXPIRED</v>
      </c>
      <c r="L7" s="11" t="n">
        <v>46157</v>
      </c>
      <c r="M7" s="12" t="n">
        <v>10003390</v>
      </c>
      <c r="N7" s="12" t="s">
        <v>57</v>
      </c>
    </row>
    <row r="8" customFormat="false" ht="15" hidden="false" customHeight="true" outlineLevel="0" collapsed="false">
      <c r="A8" s="15" t="s">
        <v>58</v>
      </c>
      <c r="B8" s="12" t="s">
        <v>59</v>
      </c>
      <c r="C8" s="11" t="n">
        <v>19246</v>
      </c>
      <c r="D8" s="12" t="n">
        <v>10047765123</v>
      </c>
      <c r="E8" s="12" t="s">
        <v>60</v>
      </c>
      <c r="F8" s="12" t="s">
        <v>46</v>
      </c>
      <c r="G8" s="11" t="n">
        <v>45901</v>
      </c>
      <c r="H8" s="11" t="n">
        <v>46266</v>
      </c>
      <c r="I8" s="12" t="s">
        <v>61</v>
      </c>
      <c r="J8" s="12" t="n">
        <f aca="true">IF(H8="","",H8-TODAY())</f>
        <v>61</v>
      </c>
      <c r="K8" s="12" t="str">
        <f aca="false">IF(H8="","",IF(J8&lt;0,"EXPIRED",IF(J8&lt;=30,"Expiring Soon (&lt;30 days)","Active")))</f>
        <v>Active</v>
      </c>
      <c r="L8" s="11"/>
      <c r="M8" s="12" t="n">
        <v>10002210</v>
      </c>
      <c r="N8" s="12" t="s">
        <v>62</v>
      </c>
    </row>
    <row r="9" customFormat="false" ht="15" hidden="false" customHeight="true" outlineLevel="0" collapsed="false">
      <c r="A9" s="12" t="s">
        <v>63</v>
      </c>
      <c r="B9" s="12" t="s">
        <v>64</v>
      </c>
      <c r="C9" s="11" t="n">
        <v>32497</v>
      </c>
      <c r="D9" s="12" t="n">
        <v>10053322190</v>
      </c>
      <c r="E9" s="12" t="s">
        <v>65</v>
      </c>
      <c r="F9" s="12" t="s">
        <v>52</v>
      </c>
      <c r="G9" s="11" t="n">
        <v>46113</v>
      </c>
      <c r="H9" s="11" t="n">
        <v>46296</v>
      </c>
      <c r="I9" s="12" t="n">
        <v>20</v>
      </c>
      <c r="J9" s="12" t="n">
        <f aca="true">IF(H9="","",H9-TODAY())</f>
        <v>91</v>
      </c>
      <c r="K9" s="12" t="str">
        <f aca="false">IF(H9="","",IF(J9&lt;0,"EXPIRED",IF(J9&lt;=30,"Expiring Soon (&lt;30 days)","Active")))</f>
        <v>Active</v>
      </c>
      <c r="L9" s="11"/>
      <c r="M9" s="12" t="n">
        <v>10005678</v>
      </c>
      <c r="N9" s="12" t="s">
        <v>66</v>
      </c>
    </row>
    <row r="10" customFormat="false" ht="15" hidden="false" customHeight="true" outlineLevel="0" collapsed="false">
      <c r="A10" s="12" t="s">
        <v>67</v>
      </c>
      <c r="B10" s="12" t="s">
        <v>68</v>
      </c>
      <c r="C10" s="11" t="n">
        <v>34522</v>
      </c>
      <c r="D10" s="12" t="n">
        <v>10049988771</v>
      </c>
      <c r="E10" s="12" t="s">
        <v>69</v>
      </c>
      <c r="F10" s="12" t="s">
        <v>46</v>
      </c>
      <c r="G10" s="11" t="n">
        <v>46054</v>
      </c>
      <c r="H10" s="11" t="n">
        <v>46419</v>
      </c>
      <c r="I10" s="12" t="s">
        <v>70</v>
      </c>
      <c r="J10" s="12" t="n">
        <f aca="true">IF(H10="","",H10-TODAY())</f>
        <v>214</v>
      </c>
      <c r="K10" s="12" t="str">
        <f aca="false">IF(H10="","",IF(J10&lt;0,"EXPIRED",IF(J10&lt;=30,"Expiring Soon (&lt;30 days)","Active")))</f>
        <v>Active</v>
      </c>
      <c r="L10" s="11"/>
      <c r="M10" s="12" t="n">
        <v>10004432</v>
      </c>
      <c r="N10" s="12" t="s">
        <v>71</v>
      </c>
    </row>
    <row r="11" customFormat="false" ht="15" hidden="false" customHeight="true" outlineLevel="0" collapsed="false">
      <c r="A11" s="12" t="s">
        <v>72</v>
      </c>
      <c r="B11" s="12" t="s">
        <v>73</v>
      </c>
      <c r="C11" s="11" t="n">
        <v>26041</v>
      </c>
      <c r="D11" s="12" t="n">
        <v>10046654321</v>
      </c>
      <c r="E11" s="12" t="s">
        <v>74</v>
      </c>
      <c r="F11" s="12" t="s">
        <v>52</v>
      </c>
      <c r="G11" s="11" t="n">
        <v>46188</v>
      </c>
      <c r="H11" s="11" t="n">
        <v>46218</v>
      </c>
      <c r="I11" s="12" t="n">
        <v>15</v>
      </c>
      <c r="J11" s="12" t="n">
        <f aca="true">IF(H11="","",H11-TODAY())</f>
        <v>13</v>
      </c>
      <c r="K11" s="12" t="str">
        <f aca="false">IF(H11="","",IF(J11&lt;0,"EXPIRED",IF(J11&lt;=30,"Expiring Soon (&lt;30 days)","Active")))</f>
        <v>Expiring Soon (&lt;30 days)</v>
      </c>
      <c r="L11" s="11"/>
      <c r="M11" s="12" t="n">
        <v>10004890</v>
      </c>
      <c r="N11" s="12" t="s">
        <v>75</v>
      </c>
    </row>
    <row r="12" customFormat="false" ht="15" hidden="false" customHeight="true" outlineLevel="0" collapsed="false">
      <c r="A12" s="12" t="s">
        <v>76</v>
      </c>
      <c r="B12" s="12" t="s">
        <v>77</v>
      </c>
      <c r="C12" s="11" t="n">
        <v>36185</v>
      </c>
      <c r="D12" s="12" t="n">
        <v>10054411002</v>
      </c>
      <c r="E12" s="12" t="s">
        <v>78</v>
      </c>
      <c r="F12" s="12" t="s">
        <v>52</v>
      </c>
      <c r="G12" s="11" t="n">
        <v>46162</v>
      </c>
      <c r="H12" s="11" t="n">
        <v>46346</v>
      </c>
      <c r="I12" s="12" t="n">
        <v>25</v>
      </c>
      <c r="J12" s="12" t="n">
        <f aca="true">IF(H12="","",H12-TODAY())</f>
        <v>141</v>
      </c>
      <c r="K12" s="12" t="str">
        <f aca="false">IF(H12="","",IF(J12&lt;0,"EXPIRED",IF(J12&lt;=30,"Expiring Soon (&lt;30 days)","Active")))</f>
        <v>Active</v>
      </c>
      <c r="L12" s="11"/>
      <c r="M12" s="12"/>
      <c r="N12" s="12" t="s">
        <v>79</v>
      </c>
    </row>
    <row r="13" customFormat="false" ht="15" hidden="false" customHeight="true" outlineLevel="0" collapsed="false">
      <c r="A13" s="12" t="s">
        <v>80</v>
      </c>
      <c r="B13" s="12" t="s">
        <v>81</v>
      </c>
      <c r="C13" s="11" t="n">
        <v>17987</v>
      </c>
      <c r="D13" s="12" t="n">
        <v>10041122334</v>
      </c>
      <c r="E13" s="12" t="s">
        <v>82</v>
      </c>
      <c r="F13" s="12" t="s">
        <v>46</v>
      </c>
      <c r="G13" s="11" t="n">
        <v>45667</v>
      </c>
      <c r="H13" s="11" t="n">
        <v>46032</v>
      </c>
      <c r="I13" s="12" t="s">
        <v>83</v>
      </c>
      <c r="J13" s="12" t="n">
        <f aca="true">IF(H13="","",H13-TODAY())</f>
        <v>-173</v>
      </c>
      <c r="K13" s="12" t="str">
        <f aca="false">IF(H13="","",IF(J13&lt;0,"EXPIRED",IF(J13&lt;=30,"Expiring Soon (&lt;30 days)","Active")))</f>
        <v>EXPIRED</v>
      </c>
      <c r="L13" s="11"/>
      <c r="M13" s="12" t="n">
        <v>10001005</v>
      </c>
      <c r="N13" s="12" t="s">
        <v>84</v>
      </c>
    </row>
    <row r="14" customFormat="false" ht="15" hidden="false" customHeight="true" outlineLevel="0" collapsed="false">
      <c r="A14" s="12" t="s">
        <v>85</v>
      </c>
      <c r="B14" s="12" t="s">
        <v>86</v>
      </c>
      <c r="C14" s="11" t="n">
        <v>30600</v>
      </c>
      <c r="D14" s="12" t="n">
        <v>10050099887</v>
      </c>
      <c r="E14" s="12" t="s">
        <v>87</v>
      </c>
      <c r="F14" s="12" t="s">
        <v>52</v>
      </c>
      <c r="G14" s="11" t="n">
        <v>46082</v>
      </c>
      <c r="H14" s="11" t="n">
        <v>46266</v>
      </c>
      <c r="I14" s="12" t="n">
        <v>18</v>
      </c>
      <c r="J14" s="12" t="n">
        <f aca="true">IF(H14="","",H14-TODAY())</f>
        <v>61</v>
      </c>
      <c r="K14" s="12" t="str">
        <f aca="false">IF(H14="","",IF(J14&lt;0,"EXPIRED",IF(J14&lt;=30,"Expiring Soon (&lt;30 days)","Active")))</f>
        <v>Active</v>
      </c>
      <c r="L14" s="11"/>
      <c r="M14" s="12" t="n">
        <v>10005121</v>
      </c>
      <c r="N14" s="12" t="s">
        <v>88</v>
      </c>
    </row>
    <row r="15" customFormat="false" ht="15" hidden="false" customHeight="true" outlineLevel="0" collapsed="false">
      <c r="A15" s="12"/>
      <c r="B15" s="12"/>
      <c r="C15" s="11"/>
      <c r="D15" s="12"/>
      <c r="E15" s="12"/>
      <c r="F15" s="12"/>
      <c r="G15" s="11"/>
      <c r="H15" s="11"/>
      <c r="I15" s="12"/>
      <c r="J15" s="12" t="str">
        <f aca="true">IF(H15="","",H15-TODAY())</f>
        <v/>
      </c>
      <c r="K15" s="12" t="str">
        <f aca="false">IF(H15="","",IF(J15&lt;0,"EXPIRED",IF(J15&lt;=30,"Expiring Soon (&lt;30 days)","Active")))</f>
        <v/>
      </c>
      <c r="L15" s="11"/>
      <c r="M15" s="12"/>
      <c r="N15" s="12"/>
    </row>
    <row r="16" customFormat="false" ht="15" hidden="false" customHeight="true" outlineLevel="0" collapsed="false">
      <c r="A16" s="12"/>
      <c r="B16" s="12"/>
      <c r="C16" s="11"/>
      <c r="D16" s="12"/>
      <c r="E16" s="12"/>
      <c r="F16" s="12"/>
      <c r="G16" s="11"/>
      <c r="H16" s="11"/>
      <c r="I16" s="12"/>
      <c r="J16" s="12" t="str">
        <f aca="true">IF(H16="","",H16-TODAY())</f>
        <v/>
      </c>
      <c r="K16" s="12" t="str">
        <f aca="false">IF(H16="","",IF(J16&lt;0,"EXPIRED",IF(J16&lt;=30,"Expiring Soon (&lt;30 days)","Active")))</f>
        <v/>
      </c>
      <c r="L16" s="11"/>
      <c r="M16" s="12"/>
      <c r="N16" s="12"/>
    </row>
    <row r="17" customFormat="false" ht="15" hidden="false" customHeight="true" outlineLevel="0" collapsed="false">
      <c r="A17" s="12"/>
      <c r="B17" s="12"/>
      <c r="C17" s="11"/>
      <c r="D17" s="12"/>
      <c r="E17" s="12"/>
      <c r="F17" s="12"/>
      <c r="G17" s="11"/>
      <c r="H17" s="11"/>
      <c r="I17" s="12"/>
      <c r="J17" s="12" t="str">
        <f aca="true">IF(H17="","",H17-TODAY())</f>
        <v/>
      </c>
      <c r="K17" s="12" t="str">
        <f aca="false">IF(H17="","",IF(J17&lt;0,"EXPIRED",IF(J17&lt;=30,"Expiring Soon (&lt;30 days)","Active")))</f>
        <v/>
      </c>
      <c r="L17" s="11"/>
      <c r="M17" s="12"/>
      <c r="N17" s="12"/>
    </row>
    <row r="18" customFormat="false" ht="15" hidden="false" customHeight="true" outlineLevel="0" collapsed="false">
      <c r="A18" s="12"/>
      <c r="B18" s="12"/>
      <c r="C18" s="11"/>
      <c r="D18" s="12"/>
      <c r="E18" s="12"/>
      <c r="F18" s="12"/>
      <c r="G18" s="11"/>
      <c r="H18" s="11"/>
      <c r="I18" s="12"/>
      <c r="J18" s="12" t="str">
        <f aca="true">IF(H18="","",H18-TODAY())</f>
        <v/>
      </c>
      <c r="K18" s="12" t="str">
        <f aca="false">IF(H18="","",IF(J18&lt;0,"EXPIRED",IF(J18&lt;=30,"Expiring Soon (&lt;30 days)","Active")))</f>
        <v/>
      </c>
      <c r="L18" s="11"/>
      <c r="M18" s="12"/>
      <c r="N18" s="12"/>
    </row>
    <row r="19" customFormat="false" ht="15" hidden="false" customHeight="true" outlineLevel="0" collapsed="false">
      <c r="A19" s="12"/>
      <c r="B19" s="12"/>
      <c r="C19" s="11"/>
      <c r="D19" s="12"/>
      <c r="E19" s="12"/>
      <c r="F19" s="12"/>
      <c r="G19" s="11"/>
      <c r="H19" s="11"/>
      <c r="I19" s="12"/>
      <c r="J19" s="12" t="str">
        <f aca="true">IF(H19="","",H19-TODAY())</f>
        <v/>
      </c>
      <c r="K19" s="12" t="str">
        <f aca="false">IF(H19="","",IF(J19&lt;0,"EXPIRED",IF(J19&lt;=30,"Expiring Soon (&lt;30 days)","Active")))</f>
        <v/>
      </c>
      <c r="L19" s="11"/>
      <c r="M19" s="12"/>
      <c r="N19" s="12"/>
    </row>
    <row r="20" customFormat="false" ht="15" hidden="false" customHeight="true" outlineLevel="0" collapsed="false">
      <c r="A20" s="12"/>
      <c r="B20" s="12"/>
      <c r="C20" s="11"/>
      <c r="D20" s="12"/>
      <c r="E20" s="12"/>
      <c r="F20" s="12"/>
      <c r="G20" s="11"/>
      <c r="H20" s="11"/>
      <c r="I20" s="12"/>
      <c r="J20" s="12" t="str">
        <f aca="true">IF(H20="","",H20-TODAY())</f>
        <v/>
      </c>
      <c r="K20" s="12" t="str">
        <f aca="false">IF(H20="","",IF(J20&lt;0,"EXPIRED",IF(J20&lt;=30,"Expiring Soon (&lt;30 days)","Active")))</f>
        <v/>
      </c>
      <c r="L20" s="11"/>
      <c r="M20" s="12"/>
      <c r="N20" s="12"/>
    </row>
    <row r="21" customFormat="false" ht="15" hidden="false" customHeight="true" outlineLevel="0" collapsed="false">
      <c r="A21" s="12"/>
      <c r="B21" s="12"/>
      <c r="C21" s="11"/>
      <c r="D21" s="12"/>
      <c r="E21" s="12"/>
      <c r="F21" s="12"/>
      <c r="G21" s="11"/>
      <c r="H21" s="11"/>
      <c r="I21" s="12"/>
      <c r="J21" s="12" t="str">
        <f aca="true">IF(H21="","",H21-TODAY())</f>
        <v/>
      </c>
      <c r="K21" s="12" t="str">
        <f aca="false">IF(H21="","",IF(J21&lt;0,"EXPIRED",IF(J21&lt;=30,"Expiring Soon (&lt;30 days)","Active")))</f>
        <v/>
      </c>
      <c r="L21" s="11"/>
      <c r="M21" s="12"/>
      <c r="N21" s="12"/>
    </row>
    <row r="22" customFormat="false" ht="15" hidden="false" customHeight="true" outlineLevel="0" collapsed="false">
      <c r="A22" s="12"/>
      <c r="B22" s="12"/>
      <c r="C22" s="11"/>
      <c r="D22" s="12"/>
      <c r="E22" s="12"/>
      <c r="F22" s="12"/>
      <c r="G22" s="11"/>
      <c r="H22" s="11"/>
      <c r="I22" s="12"/>
      <c r="J22" s="12" t="str">
        <f aca="true">IF(H22="","",H22-TODAY())</f>
        <v/>
      </c>
      <c r="K22" s="12" t="str">
        <f aca="false">IF(H22="","",IF(J22&lt;0,"EXPIRED",IF(J22&lt;=30,"Expiring Soon (&lt;30 days)","Active")))</f>
        <v/>
      </c>
      <c r="L22" s="11"/>
      <c r="M22" s="12"/>
      <c r="N22" s="12"/>
    </row>
    <row r="23" customFormat="false" ht="15" hidden="false" customHeight="true" outlineLevel="0" collapsed="false">
      <c r="A23" s="12"/>
      <c r="B23" s="12"/>
      <c r="C23" s="11"/>
      <c r="D23" s="12"/>
      <c r="E23" s="12"/>
      <c r="F23" s="12"/>
      <c r="G23" s="11"/>
      <c r="H23" s="11"/>
      <c r="I23" s="12"/>
      <c r="J23" s="12" t="str">
        <f aca="true">IF(H23="","",H23-TODAY())</f>
        <v/>
      </c>
      <c r="K23" s="12" t="str">
        <f aca="false">IF(H23="","",IF(J23&lt;0,"EXPIRED",IF(J23&lt;=30,"Expiring Soon (&lt;30 days)","Active")))</f>
        <v/>
      </c>
      <c r="L23" s="11"/>
      <c r="M23" s="12"/>
      <c r="N23" s="12"/>
    </row>
    <row r="24" customFormat="false" ht="15" hidden="false" customHeight="true" outlineLevel="0" collapsed="false">
      <c r="A24" s="12"/>
      <c r="B24" s="12"/>
      <c r="C24" s="11"/>
      <c r="D24" s="12"/>
      <c r="E24" s="12"/>
      <c r="F24" s="12"/>
      <c r="G24" s="11"/>
      <c r="H24" s="11"/>
      <c r="I24" s="12"/>
      <c r="J24" s="12" t="str">
        <f aca="true">IF(H24="","",H24-TODAY())</f>
        <v/>
      </c>
      <c r="K24" s="12" t="str">
        <f aca="false">IF(H24="","",IF(J24&lt;0,"EXPIRED",IF(J24&lt;=30,"Expiring Soon (&lt;30 days)","Active")))</f>
        <v/>
      </c>
      <c r="L24" s="11"/>
      <c r="M24" s="12"/>
      <c r="N24" s="12"/>
    </row>
    <row r="25" customFormat="false" ht="15" hidden="false" customHeight="true" outlineLevel="0" collapsed="false">
      <c r="A25" s="12"/>
      <c r="B25" s="12"/>
      <c r="C25" s="11"/>
      <c r="D25" s="12"/>
      <c r="E25" s="12"/>
      <c r="F25" s="12"/>
      <c r="G25" s="11"/>
      <c r="H25" s="11"/>
      <c r="I25" s="12"/>
      <c r="J25" s="12" t="str">
        <f aca="true">IF(H25="","",H25-TODAY())</f>
        <v/>
      </c>
      <c r="K25" s="12" t="str">
        <f aca="false">IF(H25="","",IF(J25&lt;0,"EXPIRED",IF(J25&lt;=30,"Expiring Soon (&lt;30 days)","Active")))</f>
        <v/>
      </c>
      <c r="L25" s="11"/>
      <c r="M25" s="12"/>
      <c r="N25" s="12"/>
    </row>
    <row r="26" customFormat="false" ht="15" hidden="false" customHeight="true" outlineLevel="0" collapsed="false">
      <c r="A26" s="12"/>
      <c r="B26" s="12"/>
      <c r="C26" s="11"/>
      <c r="D26" s="12"/>
      <c r="E26" s="12"/>
      <c r="F26" s="12"/>
      <c r="G26" s="11"/>
      <c r="H26" s="11"/>
      <c r="I26" s="12"/>
      <c r="J26" s="12" t="str">
        <f aca="true">IF(H26="","",H26-TODAY())</f>
        <v/>
      </c>
      <c r="K26" s="12" t="str">
        <f aca="false">IF(H26="","",IF(J26&lt;0,"EXPIRED",IF(J26&lt;=30,"Expiring Soon (&lt;30 days)","Active")))</f>
        <v/>
      </c>
      <c r="L26" s="11"/>
      <c r="M26" s="12"/>
      <c r="N26" s="12"/>
    </row>
    <row r="27" customFormat="false" ht="15" hidden="false" customHeight="true" outlineLevel="0" collapsed="false">
      <c r="A27" s="12"/>
      <c r="B27" s="12"/>
      <c r="C27" s="11"/>
      <c r="D27" s="12"/>
      <c r="E27" s="12"/>
      <c r="F27" s="12"/>
      <c r="G27" s="11"/>
      <c r="H27" s="11"/>
      <c r="I27" s="12"/>
      <c r="J27" s="12" t="str">
        <f aca="true">IF(H27="","",H27-TODAY())</f>
        <v/>
      </c>
      <c r="K27" s="12" t="str">
        <f aca="false">IF(H27="","",IF(J27&lt;0,"EXPIRED",IF(J27&lt;=30,"Expiring Soon (&lt;30 days)","Active")))</f>
        <v/>
      </c>
      <c r="L27" s="11"/>
      <c r="M27" s="12"/>
      <c r="N27" s="12"/>
    </row>
    <row r="28" customFormat="false" ht="15" hidden="false" customHeight="true" outlineLevel="0" collapsed="false">
      <c r="A28" s="12"/>
      <c r="B28" s="12"/>
      <c r="C28" s="11"/>
      <c r="D28" s="12"/>
      <c r="E28" s="12"/>
      <c r="F28" s="12"/>
      <c r="G28" s="11"/>
      <c r="H28" s="11"/>
      <c r="I28" s="12"/>
      <c r="J28" s="12" t="str">
        <f aca="true">IF(H28="","",H28-TODAY())</f>
        <v/>
      </c>
      <c r="K28" s="12" t="str">
        <f aca="false">IF(H28="","",IF(J28&lt;0,"EXPIRED",IF(J28&lt;=30,"Expiring Soon (&lt;30 days)","Active")))</f>
        <v/>
      </c>
      <c r="L28" s="11"/>
      <c r="M28" s="12"/>
      <c r="N28" s="12"/>
    </row>
    <row r="29" customFormat="false" ht="15" hidden="false" customHeight="true" outlineLevel="0" collapsed="false">
      <c r="A29" s="12"/>
      <c r="B29" s="12"/>
      <c r="C29" s="11"/>
      <c r="D29" s="12"/>
      <c r="E29" s="12"/>
      <c r="F29" s="12"/>
      <c r="G29" s="11"/>
      <c r="H29" s="11"/>
      <c r="I29" s="12"/>
      <c r="J29" s="12" t="str">
        <f aca="true">IF(H29="","",H29-TODAY())</f>
        <v/>
      </c>
      <c r="K29" s="12" t="str">
        <f aca="false">IF(H29="","",IF(J29&lt;0,"EXPIRED",IF(J29&lt;=30,"Expiring Soon (&lt;30 days)","Active")))</f>
        <v/>
      </c>
      <c r="L29" s="11"/>
      <c r="M29" s="12"/>
      <c r="N29" s="12"/>
    </row>
    <row r="30" customFormat="false" ht="15" hidden="false" customHeight="true" outlineLevel="0" collapsed="false">
      <c r="A30" s="12"/>
      <c r="B30" s="12"/>
      <c r="C30" s="11"/>
      <c r="D30" s="12"/>
      <c r="E30" s="12"/>
      <c r="F30" s="12"/>
      <c r="G30" s="11"/>
      <c r="H30" s="11"/>
      <c r="I30" s="12"/>
      <c r="J30" s="12" t="str">
        <f aca="true">IF(H30="","",H30-TODAY())</f>
        <v/>
      </c>
      <c r="K30" s="12" t="str">
        <f aca="false">IF(H30="","",IF(J30&lt;0,"EXPIRED",IF(J30&lt;=30,"Expiring Soon (&lt;30 days)","Active")))</f>
        <v/>
      </c>
      <c r="L30" s="11"/>
      <c r="M30" s="12"/>
      <c r="N30" s="12"/>
    </row>
    <row r="31" customFormat="false" ht="15" hidden="false" customHeight="true" outlineLevel="0" collapsed="false">
      <c r="A31" s="12"/>
      <c r="B31" s="12"/>
      <c r="C31" s="11"/>
      <c r="D31" s="12"/>
      <c r="E31" s="12"/>
      <c r="F31" s="12"/>
      <c r="G31" s="11"/>
      <c r="H31" s="11"/>
      <c r="I31" s="12"/>
      <c r="J31" s="12" t="str">
        <f aca="true">IF(H31="","",H31-TODAY())</f>
        <v/>
      </c>
      <c r="K31" s="12" t="str">
        <f aca="false">IF(H31="","",IF(J31&lt;0,"EXPIRED",IF(J31&lt;=30,"Expiring Soon (&lt;30 days)","Active")))</f>
        <v/>
      </c>
      <c r="L31" s="11"/>
      <c r="M31" s="12"/>
      <c r="N31" s="12"/>
    </row>
    <row r="32" customFormat="false" ht="15" hidden="false" customHeight="true" outlineLevel="0" collapsed="false">
      <c r="A32" s="12"/>
      <c r="B32" s="12"/>
      <c r="C32" s="11"/>
      <c r="D32" s="12"/>
      <c r="E32" s="12"/>
      <c r="F32" s="12"/>
      <c r="G32" s="11"/>
      <c r="H32" s="11"/>
      <c r="I32" s="12"/>
      <c r="J32" s="12" t="str">
        <f aca="true">IF(H32="","",H32-TODAY())</f>
        <v/>
      </c>
      <c r="K32" s="12" t="str">
        <f aca="false">IF(H32="","",IF(J32&lt;0,"EXPIRED",IF(J32&lt;=30,"Expiring Soon (&lt;30 days)","Active")))</f>
        <v/>
      </c>
      <c r="L32" s="11"/>
      <c r="M32" s="12"/>
      <c r="N32" s="12"/>
    </row>
    <row r="33" customFormat="false" ht="15" hidden="false" customHeight="true" outlineLevel="0" collapsed="false">
      <c r="A33" s="12"/>
      <c r="B33" s="12"/>
      <c r="C33" s="11"/>
      <c r="D33" s="12"/>
      <c r="E33" s="12"/>
      <c r="F33" s="12"/>
      <c r="G33" s="11"/>
      <c r="H33" s="11"/>
      <c r="I33" s="12"/>
      <c r="J33" s="12" t="str">
        <f aca="true">IF(H33="","",H33-TODAY())</f>
        <v/>
      </c>
      <c r="K33" s="12" t="str">
        <f aca="false">IF(H33="","",IF(J33&lt;0,"EXPIRED",IF(J33&lt;=30,"Expiring Soon (&lt;30 days)","Active")))</f>
        <v/>
      </c>
      <c r="L33" s="11"/>
      <c r="M33" s="12"/>
      <c r="N33" s="12"/>
    </row>
    <row r="34" customFormat="false" ht="15" hidden="false" customHeight="true" outlineLevel="0" collapsed="false">
      <c r="A34" s="12"/>
      <c r="B34" s="12"/>
      <c r="C34" s="11"/>
      <c r="D34" s="12"/>
      <c r="E34" s="12"/>
      <c r="F34" s="12"/>
      <c r="G34" s="11"/>
      <c r="H34" s="11"/>
      <c r="I34" s="12"/>
      <c r="J34" s="12" t="str">
        <f aca="true">IF(H34="","",H34-TODAY())</f>
        <v/>
      </c>
      <c r="K34" s="12" t="str">
        <f aca="false">IF(H34="","",IF(J34&lt;0,"EXPIRED",IF(J34&lt;=30,"Expiring Soon (&lt;30 days)","Active")))</f>
        <v/>
      </c>
      <c r="L34" s="11"/>
      <c r="M34" s="12"/>
      <c r="N34" s="12"/>
    </row>
    <row r="35" customFormat="false" ht="15" hidden="false" customHeight="true" outlineLevel="0" collapsed="false">
      <c r="A35" s="12"/>
      <c r="B35" s="12"/>
      <c r="C35" s="11"/>
      <c r="D35" s="12"/>
      <c r="E35" s="12"/>
      <c r="F35" s="12"/>
      <c r="G35" s="11"/>
      <c r="H35" s="11"/>
      <c r="I35" s="12"/>
      <c r="J35" s="12" t="str">
        <f aca="true">IF(H35="","",H35-TODAY())</f>
        <v/>
      </c>
      <c r="K35" s="12" t="str">
        <f aca="false">IF(H35="","",IF(J35&lt;0,"EXPIRED",IF(J35&lt;=30,"Expiring Soon (&lt;30 days)","Active")))</f>
        <v/>
      </c>
      <c r="L35" s="11"/>
      <c r="M35" s="12"/>
      <c r="N35" s="12"/>
    </row>
    <row r="36" customFormat="false" ht="15" hidden="false" customHeight="true" outlineLevel="0" collapsed="false">
      <c r="A36" s="12"/>
      <c r="B36" s="12"/>
      <c r="C36" s="11"/>
      <c r="D36" s="12"/>
      <c r="E36" s="12"/>
      <c r="F36" s="12"/>
      <c r="G36" s="11"/>
      <c r="H36" s="11"/>
      <c r="I36" s="12"/>
      <c r="J36" s="12" t="str">
        <f aca="true">IF(H36="","",H36-TODAY())</f>
        <v/>
      </c>
      <c r="K36" s="12" t="str">
        <f aca="false">IF(H36="","",IF(J36&lt;0,"EXPIRED",IF(J36&lt;=30,"Expiring Soon (&lt;30 days)","Active")))</f>
        <v/>
      </c>
      <c r="L36" s="11"/>
      <c r="M36" s="12"/>
      <c r="N36" s="12"/>
    </row>
    <row r="37" customFormat="false" ht="15" hidden="false" customHeight="true" outlineLevel="0" collapsed="false">
      <c r="A37" s="12"/>
      <c r="B37" s="12"/>
      <c r="C37" s="11"/>
      <c r="D37" s="12"/>
      <c r="E37" s="12"/>
      <c r="F37" s="12"/>
      <c r="G37" s="11"/>
      <c r="H37" s="11"/>
      <c r="I37" s="12"/>
      <c r="J37" s="12" t="str">
        <f aca="true">IF(H37="","",H37-TODAY())</f>
        <v/>
      </c>
      <c r="K37" s="12" t="str">
        <f aca="false">IF(H37="","",IF(J37&lt;0,"EXPIRED",IF(J37&lt;=30,"Expiring Soon (&lt;30 days)","Active")))</f>
        <v/>
      </c>
      <c r="L37" s="11"/>
      <c r="M37" s="12"/>
      <c r="N37" s="12"/>
    </row>
    <row r="38" customFormat="false" ht="15" hidden="false" customHeight="true" outlineLevel="0" collapsed="false">
      <c r="A38" s="12"/>
      <c r="B38" s="12"/>
      <c r="C38" s="11"/>
      <c r="D38" s="12"/>
      <c r="E38" s="12"/>
      <c r="F38" s="12"/>
      <c r="G38" s="11"/>
      <c r="H38" s="11"/>
      <c r="I38" s="12"/>
      <c r="J38" s="12" t="str">
        <f aca="true">IF(H38="","",H38-TODAY())</f>
        <v/>
      </c>
      <c r="K38" s="12" t="str">
        <f aca="false">IF(H38="","",IF(J38&lt;0,"EXPIRED",IF(J38&lt;=30,"Expiring Soon (&lt;30 days)","Active")))</f>
        <v/>
      </c>
      <c r="L38" s="11"/>
      <c r="M38" s="12"/>
      <c r="N38" s="12"/>
    </row>
    <row r="39" customFormat="false" ht="15" hidden="false" customHeight="true" outlineLevel="0" collapsed="false">
      <c r="A39" s="12"/>
      <c r="B39" s="12"/>
      <c r="C39" s="11"/>
      <c r="D39" s="12"/>
      <c r="E39" s="12"/>
      <c r="F39" s="12"/>
      <c r="G39" s="11"/>
      <c r="H39" s="11"/>
      <c r="I39" s="12"/>
      <c r="J39" s="12" t="str">
        <f aca="true">IF(H39="","",H39-TODAY())</f>
        <v/>
      </c>
      <c r="K39" s="12" t="str">
        <f aca="false">IF(H39="","",IF(J39&lt;0,"EXPIRED",IF(J39&lt;=30,"Expiring Soon (&lt;30 days)","Active")))</f>
        <v/>
      </c>
      <c r="L39" s="11"/>
      <c r="M39" s="12"/>
      <c r="N39" s="12"/>
    </row>
    <row r="40" customFormat="false" ht="15" hidden="false" customHeight="true" outlineLevel="0" collapsed="false">
      <c r="A40" s="12"/>
      <c r="B40" s="12"/>
      <c r="C40" s="11"/>
      <c r="D40" s="12"/>
      <c r="E40" s="12"/>
      <c r="F40" s="12"/>
      <c r="G40" s="11"/>
      <c r="H40" s="11"/>
      <c r="I40" s="12"/>
      <c r="J40" s="12" t="str">
        <f aca="true">IF(H40="","",H40-TODAY())</f>
        <v/>
      </c>
      <c r="K40" s="12" t="str">
        <f aca="false">IF(H40="","",IF(J40&lt;0,"EXPIRED",IF(J40&lt;=30,"Expiring Soon (&lt;30 days)","Active")))</f>
        <v/>
      </c>
      <c r="L40" s="11"/>
      <c r="M40" s="12"/>
      <c r="N40" s="12"/>
    </row>
    <row r="41" customFormat="false" ht="15" hidden="false" customHeight="true" outlineLevel="0" collapsed="false">
      <c r="A41" s="12"/>
      <c r="B41" s="12"/>
      <c r="C41" s="11"/>
      <c r="D41" s="12"/>
      <c r="E41" s="12"/>
      <c r="F41" s="12"/>
      <c r="G41" s="11"/>
      <c r="H41" s="11"/>
      <c r="I41" s="12"/>
      <c r="J41" s="12" t="str">
        <f aca="true">IF(H41="","",H41-TODAY())</f>
        <v/>
      </c>
      <c r="K41" s="12" t="str">
        <f aca="false">IF(H41="","",IF(J41&lt;0,"EXPIRED",IF(J41&lt;=30,"Expiring Soon (&lt;30 days)","Active")))</f>
        <v/>
      </c>
      <c r="L41" s="11"/>
      <c r="M41" s="12"/>
      <c r="N41" s="12"/>
    </row>
    <row r="42" customFormat="false" ht="15" hidden="false" customHeight="true" outlineLevel="0" collapsed="false">
      <c r="A42" s="12"/>
      <c r="B42" s="12"/>
      <c r="C42" s="11"/>
      <c r="D42" s="12"/>
      <c r="E42" s="12"/>
      <c r="F42" s="12"/>
      <c r="G42" s="11"/>
      <c r="H42" s="11"/>
      <c r="I42" s="12"/>
      <c r="J42" s="12" t="str">
        <f aca="true">IF(H42="","",H42-TODAY())</f>
        <v/>
      </c>
      <c r="K42" s="12" t="str">
        <f aca="false">IF(H42="","",IF(J42&lt;0,"EXPIRED",IF(J42&lt;=30,"Expiring Soon (&lt;30 days)","Active")))</f>
        <v/>
      </c>
      <c r="L42" s="11"/>
      <c r="M42" s="12"/>
      <c r="N42" s="12"/>
    </row>
    <row r="43" customFormat="false" ht="15" hidden="false" customHeight="true" outlineLevel="0" collapsed="false">
      <c r="A43" s="12"/>
      <c r="B43" s="12"/>
      <c r="C43" s="11"/>
      <c r="D43" s="12"/>
      <c r="E43" s="12"/>
      <c r="F43" s="12"/>
      <c r="G43" s="11"/>
      <c r="H43" s="11"/>
      <c r="I43" s="12"/>
      <c r="J43" s="12" t="str">
        <f aca="true">IF(H43="","",H43-TODAY())</f>
        <v/>
      </c>
      <c r="K43" s="12" t="str">
        <f aca="false">IF(H43="","",IF(J43&lt;0,"EXPIRED",IF(J43&lt;=30,"Expiring Soon (&lt;30 days)","Active")))</f>
        <v/>
      </c>
      <c r="L43" s="11"/>
      <c r="M43" s="12"/>
      <c r="N43" s="12"/>
    </row>
    <row r="44" customFormat="false" ht="15" hidden="false" customHeight="true" outlineLevel="0" collapsed="false">
      <c r="A44" s="12"/>
      <c r="B44" s="12"/>
      <c r="C44" s="11"/>
      <c r="D44" s="12"/>
      <c r="E44" s="12"/>
      <c r="F44" s="12"/>
      <c r="G44" s="11"/>
      <c r="H44" s="11"/>
      <c r="I44" s="12"/>
      <c r="J44" s="12" t="str">
        <f aca="true">IF(H44="","",H44-TODAY())</f>
        <v/>
      </c>
      <c r="K44" s="12" t="str">
        <f aca="false">IF(H44="","",IF(J44&lt;0,"EXPIRED",IF(J44&lt;=30,"Expiring Soon (&lt;30 days)","Active")))</f>
        <v/>
      </c>
      <c r="L44" s="11"/>
      <c r="M44" s="12"/>
      <c r="N44" s="12"/>
    </row>
    <row r="45" customFormat="false" ht="15" hidden="false" customHeight="true" outlineLevel="0" collapsed="false">
      <c r="A45" s="12"/>
      <c r="B45" s="12"/>
      <c r="C45" s="11"/>
      <c r="D45" s="12"/>
      <c r="E45" s="12"/>
      <c r="F45" s="12"/>
      <c r="G45" s="11"/>
      <c r="H45" s="11"/>
      <c r="I45" s="12"/>
      <c r="J45" s="12" t="str">
        <f aca="true">IF(H45="","",H45-TODAY())</f>
        <v/>
      </c>
      <c r="K45" s="12" t="str">
        <f aca="false">IF(H45="","",IF(J45&lt;0,"EXPIRED",IF(J45&lt;=30,"Expiring Soon (&lt;30 days)","Active")))</f>
        <v/>
      </c>
      <c r="L45" s="11"/>
      <c r="M45" s="12"/>
      <c r="N45" s="12"/>
    </row>
    <row r="46" customFormat="false" ht="15" hidden="false" customHeight="true" outlineLevel="0" collapsed="false">
      <c r="A46" s="12"/>
      <c r="B46" s="12"/>
      <c r="C46" s="11"/>
      <c r="D46" s="12"/>
      <c r="E46" s="12"/>
      <c r="F46" s="12"/>
      <c r="G46" s="11"/>
      <c r="H46" s="11"/>
      <c r="I46" s="12"/>
      <c r="J46" s="12" t="str">
        <f aca="true">IF(H46="","",H46-TODAY())</f>
        <v/>
      </c>
      <c r="K46" s="12" t="str">
        <f aca="false">IF(H46="","",IF(J46&lt;0,"EXPIRED",IF(J46&lt;=30,"Expiring Soon (&lt;30 days)","Active")))</f>
        <v/>
      </c>
      <c r="L46" s="11"/>
      <c r="M46" s="12"/>
      <c r="N46" s="12"/>
    </row>
    <row r="47" customFormat="false" ht="15" hidden="false" customHeight="true" outlineLevel="0" collapsed="false">
      <c r="A47" s="12"/>
      <c r="B47" s="12"/>
      <c r="C47" s="11"/>
      <c r="D47" s="12"/>
      <c r="E47" s="12"/>
      <c r="F47" s="12"/>
      <c r="G47" s="11"/>
      <c r="H47" s="11"/>
      <c r="I47" s="12"/>
      <c r="J47" s="12" t="str">
        <f aca="true">IF(H47="","",H47-TODAY())</f>
        <v/>
      </c>
      <c r="K47" s="12" t="str">
        <f aca="false">IF(H47="","",IF(J47&lt;0,"EXPIRED",IF(J47&lt;=30,"Expiring Soon (&lt;30 days)","Active")))</f>
        <v/>
      </c>
      <c r="L47" s="11"/>
      <c r="M47" s="12"/>
      <c r="N47" s="12"/>
    </row>
    <row r="48" customFormat="false" ht="15" hidden="false" customHeight="true" outlineLevel="0" collapsed="false">
      <c r="A48" s="12"/>
      <c r="B48" s="12"/>
      <c r="C48" s="11"/>
      <c r="D48" s="12"/>
      <c r="E48" s="12"/>
      <c r="F48" s="12"/>
      <c r="G48" s="11"/>
      <c r="H48" s="11"/>
      <c r="I48" s="12"/>
      <c r="J48" s="12" t="str">
        <f aca="true">IF(H48="","",H48-TODAY())</f>
        <v/>
      </c>
      <c r="K48" s="12" t="str">
        <f aca="false">IF(H48="","",IF(J48&lt;0,"EXPIRED",IF(J48&lt;=30,"Expiring Soon (&lt;30 days)","Active")))</f>
        <v/>
      </c>
      <c r="L48" s="11"/>
      <c r="M48" s="12"/>
      <c r="N48" s="12"/>
    </row>
    <row r="49" customFormat="false" ht="15" hidden="false" customHeight="true" outlineLevel="0" collapsed="false">
      <c r="A49" s="12"/>
      <c r="B49" s="12"/>
      <c r="C49" s="11"/>
      <c r="D49" s="12"/>
      <c r="E49" s="12"/>
      <c r="F49" s="12"/>
      <c r="G49" s="11"/>
      <c r="H49" s="11"/>
      <c r="I49" s="12"/>
      <c r="J49" s="12" t="str">
        <f aca="true">IF(H49="","",H49-TODAY())</f>
        <v/>
      </c>
      <c r="K49" s="12" t="str">
        <f aca="false">IF(H49="","",IF(J49&lt;0,"EXPIRED",IF(J49&lt;=30,"Expiring Soon (&lt;30 days)","Active")))</f>
        <v/>
      </c>
      <c r="L49" s="11"/>
      <c r="M49" s="12"/>
      <c r="N49" s="12"/>
    </row>
    <row r="50" customFormat="false" ht="15" hidden="false" customHeight="true" outlineLevel="0" collapsed="false">
      <c r="A50" s="12"/>
      <c r="B50" s="12"/>
      <c r="C50" s="11"/>
      <c r="D50" s="12"/>
      <c r="E50" s="12"/>
      <c r="F50" s="12"/>
      <c r="G50" s="11"/>
      <c r="H50" s="11"/>
      <c r="I50" s="12"/>
      <c r="J50" s="12" t="str">
        <f aca="true">IF(H50="","",H50-TODAY())</f>
        <v/>
      </c>
      <c r="K50" s="12" t="str">
        <f aca="false">IF(H50="","",IF(J50&lt;0,"EXPIRED",IF(J50&lt;=30,"Expiring Soon (&lt;30 days)","Active")))</f>
        <v/>
      </c>
      <c r="L50" s="11"/>
      <c r="M50" s="12"/>
      <c r="N50" s="12"/>
    </row>
    <row r="51" customFormat="false" ht="15" hidden="false" customHeight="true" outlineLevel="0" collapsed="false">
      <c r="A51" s="12"/>
      <c r="B51" s="12"/>
      <c r="C51" s="11"/>
      <c r="D51" s="12"/>
      <c r="E51" s="12"/>
      <c r="F51" s="12"/>
      <c r="G51" s="11"/>
      <c r="H51" s="11"/>
      <c r="I51" s="12"/>
      <c r="J51" s="12" t="str">
        <f aca="true">IF(H51="","",H51-TODAY())</f>
        <v/>
      </c>
      <c r="K51" s="12" t="str">
        <f aca="false">IF(H51="","",IF(J51&lt;0,"EXPIRED",IF(J51&lt;=30,"Expiring Soon (&lt;30 days)","Active")))</f>
        <v/>
      </c>
      <c r="L51" s="11"/>
      <c r="M51" s="12"/>
      <c r="N51" s="12"/>
    </row>
    <row r="52" customFormat="false" ht="15" hidden="false" customHeight="true" outlineLevel="0" collapsed="false">
      <c r="A52" s="12"/>
      <c r="B52" s="12"/>
      <c r="C52" s="11"/>
      <c r="D52" s="12"/>
      <c r="E52" s="12"/>
      <c r="F52" s="12"/>
      <c r="G52" s="11"/>
      <c r="H52" s="11"/>
      <c r="I52" s="12"/>
      <c r="J52" s="12" t="str">
        <f aca="true">IF(H52="","",H52-TODAY())</f>
        <v/>
      </c>
      <c r="K52" s="12" t="str">
        <f aca="false">IF(H52="","",IF(J52&lt;0,"EXPIRED",IF(J52&lt;=30,"Expiring Soon (&lt;30 days)","Active")))</f>
        <v/>
      </c>
      <c r="L52" s="11"/>
      <c r="M52" s="12"/>
      <c r="N52" s="12"/>
    </row>
    <row r="53" customFormat="false" ht="15" hidden="false" customHeight="true" outlineLevel="0" collapsed="false">
      <c r="A53" s="12"/>
      <c r="B53" s="12"/>
      <c r="C53" s="11"/>
      <c r="D53" s="12"/>
      <c r="E53" s="12"/>
      <c r="F53" s="12"/>
      <c r="G53" s="11"/>
      <c r="H53" s="11"/>
      <c r="I53" s="12"/>
      <c r="J53" s="12" t="str">
        <f aca="true">IF(H53="","",H53-TODAY())</f>
        <v/>
      </c>
      <c r="K53" s="12" t="str">
        <f aca="false">IF(H53="","",IF(J53&lt;0,"EXPIRED",IF(J53&lt;=30,"Expiring Soon (&lt;30 days)","Active")))</f>
        <v/>
      </c>
      <c r="L53" s="11"/>
      <c r="M53" s="12"/>
      <c r="N53" s="12"/>
    </row>
    <row r="54" customFormat="false" ht="15" hidden="false" customHeight="true" outlineLevel="0" collapsed="false">
      <c r="A54" s="12"/>
      <c r="B54" s="12"/>
      <c r="C54" s="11"/>
      <c r="D54" s="12"/>
      <c r="E54" s="12"/>
      <c r="F54" s="12"/>
      <c r="G54" s="11"/>
      <c r="H54" s="11"/>
      <c r="I54" s="12"/>
      <c r="J54" s="12" t="str">
        <f aca="true">IF(H54="","",H54-TODAY())</f>
        <v/>
      </c>
      <c r="K54" s="12" t="str">
        <f aca="false">IF(H54="","",IF(J54&lt;0,"EXPIRED",IF(J54&lt;=30,"Expiring Soon (&lt;30 days)","Active")))</f>
        <v/>
      </c>
      <c r="L54" s="11"/>
      <c r="M54" s="12"/>
      <c r="N54" s="12"/>
    </row>
    <row r="55" customFormat="false" ht="15" hidden="false" customHeight="true" outlineLevel="0" collapsed="false">
      <c r="A55" s="12"/>
      <c r="B55" s="12"/>
      <c r="C55" s="11"/>
      <c r="D55" s="12"/>
      <c r="E55" s="12"/>
      <c r="F55" s="12"/>
      <c r="G55" s="11"/>
      <c r="H55" s="11"/>
      <c r="I55" s="12"/>
      <c r="J55" s="12" t="str">
        <f aca="true">IF(H55="","",H55-TODAY())</f>
        <v/>
      </c>
      <c r="K55" s="12" t="str">
        <f aca="false">IF(H55="","",IF(J55&lt;0,"EXPIRED",IF(J55&lt;=30,"Expiring Soon (&lt;30 days)","Active")))</f>
        <v/>
      </c>
      <c r="L55" s="11"/>
      <c r="M55" s="12"/>
      <c r="N55" s="12"/>
    </row>
    <row r="56" customFormat="false" ht="15" hidden="false" customHeight="true" outlineLevel="0" collapsed="false">
      <c r="A56" s="12"/>
      <c r="B56" s="12"/>
      <c r="C56" s="11"/>
      <c r="D56" s="12"/>
      <c r="E56" s="12"/>
      <c r="F56" s="12"/>
      <c r="G56" s="11"/>
      <c r="H56" s="11"/>
      <c r="I56" s="12"/>
      <c r="J56" s="12" t="str">
        <f aca="true">IF(H56="","",H56-TODAY())</f>
        <v/>
      </c>
      <c r="K56" s="12" t="str">
        <f aca="false">IF(H56="","",IF(J56&lt;0,"EXPIRED",IF(J56&lt;=30,"Expiring Soon (&lt;30 days)","Active")))</f>
        <v/>
      </c>
      <c r="L56" s="11"/>
      <c r="M56" s="12"/>
      <c r="N56" s="12"/>
    </row>
    <row r="57" customFormat="false" ht="15" hidden="false" customHeight="true" outlineLevel="0" collapsed="false">
      <c r="A57" s="12"/>
      <c r="B57" s="12"/>
      <c r="C57" s="11"/>
      <c r="D57" s="12"/>
      <c r="E57" s="12"/>
      <c r="F57" s="12"/>
      <c r="G57" s="11"/>
      <c r="H57" s="11"/>
      <c r="I57" s="12"/>
      <c r="J57" s="12" t="str">
        <f aca="true">IF(H57="","",H57-TODAY())</f>
        <v/>
      </c>
      <c r="K57" s="12" t="str">
        <f aca="false">IF(H57="","",IF(J57&lt;0,"EXPIRED",IF(J57&lt;=30,"Expiring Soon (&lt;30 days)","Active")))</f>
        <v/>
      </c>
      <c r="L57" s="11"/>
      <c r="M57" s="12"/>
      <c r="N57" s="12"/>
    </row>
    <row r="58" customFormat="false" ht="15" hidden="false" customHeight="true" outlineLevel="0" collapsed="false">
      <c r="A58" s="12"/>
      <c r="B58" s="12"/>
      <c r="C58" s="11"/>
      <c r="D58" s="12"/>
      <c r="E58" s="12"/>
      <c r="F58" s="12"/>
      <c r="G58" s="11"/>
      <c r="H58" s="11"/>
      <c r="I58" s="12"/>
      <c r="J58" s="12" t="str">
        <f aca="true">IF(H58="","",H58-TODAY())</f>
        <v/>
      </c>
      <c r="K58" s="12" t="str">
        <f aca="false">IF(H58="","",IF(J58&lt;0,"EXPIRED",IF(J58&lt;=30,"Expiring Soon (&lt;30 days)","Active")))</f>
        <v/>
      </c>
      <c r="L58" s="11"/>
      <c r="M58" s="12"/>
      <c r="N58" s="12"/>
    </row>
    <row r="59" customFormat="false" ht="15" hidden="false" customHeight="true" outlineLevel="0" collapsed="false">
      <c r="A59" s="12"/>
      <c r="B59" s="12"/>
      <c r="C59" s="11"/>
      <c r="D59" s="12"/>
      <c r="E59" s="12"/>
      <c r="F59" s="12"/>
      <c r="G59" s="11"/>
      <c r="H59" s="11"/>
      <c r="I59" s="12"/>
      <c r="J59" s="12" t="str">
        <f aca="true">IF(H59="","",H59-TODAY())</f>
        <v/>
      </c>
      <c r="K59" s="12" t="str">
        <f aca="false">IF(H59="","",IF(J59&lt;0,"EXPIRED",IF(J59&lt;=30,"Expiring Soon (&lt;30 days)","Active")))</f>
        <v/>
      </c>
      <c r="L59" s="11"/>
      <c r="M59" s="12"/>
      <c r="N59" s="12"/>
    </row>
    <row r="60" customFormat="false" ht="15" hidden="false" customHeight="true" outlineLevel="0" collapsed="false">
      <c r="A60" s="12"/>
      <c r="B60" s="12"/>
      <c r="C60" s="11"/>
      <c r="D60" s="12"/>
      <c r="E60" s="12"/>
      <c r="F60" s="12"/>
      <c r="G60" s="11"/>
      <c r="H60" s="11"/>
      <c r="I60" s="12"/>
      <c r="J60" s="12" t="str">
        <f aca="true">IF(H60="","",H60-TODAY())</f>
        <v/>
      </c>
      <c r="K60" s="12" t="str">
        <f aca="false">IF(H60="","",IF(J60&lt;0,"EXPIRED",IF(J60&lt;=30,"Expiring Soon (&lt;30 days)","Active")))</f>
        <v/>
      </c>
      <c r="L60" s="11"/>
      <c r="M60" s="12"/>
      <c r="N60" s="12"/>
    </row>
    <row r="61" customFormat="false" ht="15" hidden="false" customHeight="true" outlineLevel="0" collapsed="false">
      <c r="A61" s="12"/>
      <c r="B61" s="12"/>
      <c r="C61" s="11"/>
      <c r="D61" s="12"/>
      <c r="E61" s="12"/>
      <c r="F61" s="12"/>
      <c r="G61" s="11"/>
      <c r="H61" s="11"/>
      <c r="I61" s="12"/>
      <c r="J61" s="12" t="str">
        <f aca="true">IF(H61="","",H61-TODAY())</f>
        <v/>
      </c>
      <c r="K61" s="12" t="str">
        <f aca="false">IF(H61="","",IF(J61&lt;0,"EXPIRED",IF(J61&lt;=30,"Expiring Soon (&lt;30 days)","Active")))</f>
        <v/>
      </c>
      <c r="L61" s="11"/>
      <c r="M61" s="12"/>
      <c r="N61" s="12"/>
    </row>
    <row r="62" customFormat="false" ht="15" hidden="false" customHeight="true" outlineLevel="0" collapsed="false">
      <c r="A62" s="12"/>
      <c r="B62" s="12"/>
      <c r="C62" s="11"/>
      <c r="D62" s="12"/>
      <c r="E62" s="12"/>
      <c r="F62" s="12"/>
      <c r="G62" s="11"/>
      <c r="H62" s="11"/>
      <c r="I62" s="12"/>
      <c r="J62" s="12" t="str">
        <f aca="true">IF(H62="","",H62-TODAY())</f>
        <v/>
      </c>
      <c r="K62" s="12" t="str">
        <f aca="false">IF(H62="","",IF(J62&lt;0,"EXPIRED",IF(J62&lt;=30,"Expiring Soon (&lt;30 days)","Active")))</f>
        <v/>
      </c>
      <c r="L62" s="11"/>
      <c r="M62" s="12"/>
      <c r="N62" s="12"/>
    </row>
    <row r="63" customFormat="false" ht="15" hidden="false" customHeight="true" outlineLevel="0" collapsed="false">
      <c r="A63" s="12"/>
      <c r="B63" s="12"/>
      <c r="C63" s="11"/>
      <c r="D63" s="12"/>
      <c r="E63" s="12"/>
      <c r="F63" s="12"/>
      <c r="G63" s="11"/>
      <c r="H63" s="11"/>
      <c r="I63" s="12"/>
      <c r="J63" s="12" t="str">
        <f aca="true">IF(H63="","",H63-TODAY())</f>
        <v/>
      </c>
      <c r="K63" s="12" t="str">
        <f aca="false">IF(H63="","",IF(J63&lt;0,"EXPIRED",IF(J63&lt;=30,"Expiring Soon (&lt;30 days)","Active")))</f>
        <v/>
      </c>
      <c r="L63" s="11"/>
      <c r="M63" s="12"/>
      <c r="N63" s="12"/>
    </row>
    <row r="64" customFormat="false" ht="15" hidden="false" customHeight="true" outlineLevel="0" collapsed="false">
      <c r="A64" s="12"/>
      <c r="B64" s="12"/>
      <c r="C64" s="11"/>
      <c r="D64" s="12"/>
      <c r="E64" s="12"/>
      <c r="F64" s="12"/>
      <c r="G64" s="11"/>
      <c r="H64" s="11"/>
      <c r="I64" s="12"/>
      <c r="J64" s="12" t="str">
        <f aca="true">IF(H64="","",H64-TODAY())</f>
        <v/>
      </c>
      <c r="K64" s="12" t="str">
        <f aca="false">IF(H64="","",IF(J64&lt;0,"EXPIRED",IF(J64&lt;=30,"Expiring Soon (&lt;30 days)","Active")))</f>
        <v/>
      </c>
      <c r="L64" s="11"/>
      <c r="M64" s="12"/>
      <c r="N64" s="12"/>
    </row>
    <row r="65" customFormat="false" ht="15" hidden="false" customHeight="true" outlineLevel="0" collapsed="false">
      <c r="A65" s="12"/>
      <c r="B65" s="12"/>
      <c r="C65" s="11"/>
      <c r="D65" s="12"/>
      <c r="E65" s="12"/>
      <c r="F65" s="12"/>
      <c r="G65" s="11"/>
      <c r="H65" s="11"/>
      <c r="I65" s="12"/>
      <c r="J65" s="12" t="str">
        <f aca="true">IF(H65="","",H65-TODAY())</f>
        <v/>
      </c>
      <c r="K65" s="12" t="str">
        <f aca="false">IF(H65="","",IF(J65&lt;0,"EXPIRED",IF(J65&lt;=30,"Expiring Soon (&lt;30 days)","Active")))</f>
        <v/>
      </c>
      <c r="L65" s="11"/>
      <c r="M65" s="12"/>
      <c r="N65" s="12"/>
    </row>
    <row r="66" customFormat="false" ht="15" hidden="false" customHeight="true" outlineLevel="0" collapsed="false">
      <c r="A66" s="12"/>
      <c r="B66" s="12"/>
      <c r="C66" s="11"/>
      <c r="D66" s="12"/>
      <c r="E66" s="12"/>
      <c r="F66" s="12"/>
      <c r="G66" s="11"/>
      <c r="H66" s="11"/>
      <c r="I66" s="12"/>
      <c r="J66" s="12" t="str">
        <f aca="true">IF(H66="","",H66-TODAY())</f>
        <v/>
      </c>
      <c r="K66" s="12" t="str">
        <f aca="false">IF(H66="","",IF(J66&lt;0,"EXPIRED",IF(J66&lt;=30,"Expiring Soon (&lt;30 days)","Active")))</f>
        <v/>
      </c>
      <c r="L66" s="11"/>
      <c r="M66" s="12"/>
      <c r="N66" s="12"/>
    </row>
    <row r="67" customFormat="false" ht="15" hidden="false" customHeight="true" outlineLevel="0" collapsed="false">
      <c r="A67" s="12"/>
      <c r="B67" s="12"/>
      <c r="C67" s="11"/>
      <c r="D67" s="12"/>
      <c r="E67" s="12"/>
      <c r="F67" s="12"/>
      <c r="G67" s="11"/>
      <c r="H67" s="11"/>
      <c r="I67" s="12"/>
      <c r="J67" s="12" t="str">
        <f aca="true">IF(H67="","",H67-TODAY())</f>
        <v/>
      </c>
      <c r="K67" s="12" t="str">
        <f aca="false">IF(H67="","",IF(J67&lt;0,"EXPIRED",IF(J67&lt;=30,"Expiring Soon (&lt;30 days)","Active")))</f>
        <v/>
      </c>
      <c r="L67" s="11"/>
      <c r="M67" s="12"/>
      <c r="N67" s="12"/>
    </row>
    <row r="68" customFormat="false" ht="15" hidden="false" customHeight="true" outlineLevel="0" collapsed="false">
      <c r="A68" s="12"/>
      <c r="B68" s="12"/>
      <c r="C68" s="11"/>
      <c r="D68" s="12"/>
      <c r="E68" s="12"/>
      <c r="F68" s="12"/>
      <c r="G68" s="11"/>
      <c r="H68" s="11"/>
      <c r="I68" s="12"/>
      <c r="J68" s="12" t="str">
        <f aca="true">IF(H68="","",H68-TODAY())</f>
        <v/>
      </c>
      <c r="K68" s="12" t="str">
        <f aca="false">IF(H68="","",IF(J68&lt;0,"EXPIRED",IF(J68&lt;=30,"Expiring Soon (&lt;30 days)","Active")))</f>
        <v/>
      </c>
      <c r="L68" s="11"/>
      <c r="M68" s="12"/>
      <c r="N68" s="12"/>
    </row>
    <row r="69" customFormat="false" ht="15" hidden="false" customHeight="true" outlineLevel="0" collapsed="false">
      <c r="A69" s="12"/>
      <c r="B69" s="12"/>
      <c r="C69" s="11"/>
      <c r="D69" s="12"/>
      <c r="E69" s="12"/>
      <c r="F69" s="12"/>
      <c r="G69" s="11"/>
      <c r="H69" s="11"/>
      <c r="I69" s="12"/>
      <c r="J69" s="12" t="str">
        <f aca="true">IF(H69="","",H69-TODAY())</f>
        <v/>
      </c>
      <c r="K69" s="12" t="str">
        <f aca="false">IF(H69="","",IF(J69&lt;0,"EXPIRED",IF(J69&lt;=30,"Expiring Soon (&lt;30 days)","Active")))</f>
        <v/>
      </c>
      <c r="L69" s="11"/>
      <c r="M69" s="12"/>
      <c r="N69" s="12"/>
    </row>
    <row r="70" customFormat="false" ht="15" hidden="false" customHeight="true" outlineLevel="0" collapsed="false">
      <c r="A70" s="12"/>
      <c r="B70" s="12"/>
      <c r="C70" s="11"/>
      <c r="D70" s="12"/>
      <c r="E70" s="12"/>
      <c r="F70" s="12"/>
      <c r="G70" s="11"/>
      <c r="H70" s="11"/>
      <c r="I70" s="12"/>
      <c r="J70" s="12" t="str">
        <f aca="true">IF(H70="","",H70-TODAY())</f>
        <v/>
      </c>
      <c r="K70" s="12" t="str">
        <f aca="false">IF(H70="","",IF(J70&lt;0,"EXPIRED",IF(J70&lt;=30,"Expiring Soon (&lt;30 days)","Active")))</f>
        <v/>
      </c>
      <c r="L70" s="11"/>
      <c r="M70" s="12"/>
      <c r="N70" s="12"/>
    </row>
    <row r="71" customFormat="false" ht="15" hidden="false" customHeight="true" outlineLevel="0" collapsed="false">
      <c r="A71" s="12"/>
      <c r="B71" s="12"/>
      <c r="C71" s="11"/>
      <c r="D71" s="12"/>
      <c r="E71" s="12"/>
      <c r="F71" s="12"/>
      <c r="G71" s="11"/>
      <c r="H71" s="11"/>
      <c r="I71" s="12"/>
      <c r="J71" s="12" t="str">
        <f aca="true">IF(H71="","",H71-TODAY())</f>
        <v/>
      </c>
      <c r="K71" s="12" t="str">
        <f aca="false">IF(H71="","",IF(J71&lt;0,"EXPIRED",IF(J71&lt;=30,"Expiring Soon (&lt;30 days)","Active")))</f>
        <v/>
      </c>
      <c r="L71" s="11"/>
      <c r="M71" s="12"/>
      <c r="N71" s="12"/>
    </row>
    <row r="72" customFormat="false" ht="15" hidden="false" customHeight="true" outlineLevel="0" collapsed="false">
      <c r="A72" s="12"/>
      <c r="B72" s="12"/>
      <c r="C72" s="11"/>
      <c r="D72" s="12"/>
      <c r="E72" s="12"/>
      <c r="F72" s="12"/>
      <c r="G72" s="11"/>
      <c r="H72" s="11"/>
      <c r="I72" s="12"/>
      <c r="J72" s="12" t="str">
        <f aca="true">IF(H72="","",H72-TODAY())</f>
        <v/>
      </c>
      <c r="K72" s="12" t="str">
        <f aca="false">IF(H72="","",IF(J72&lt;0,"EXPIRED",IF(J72&lt;=30,"Expiring Soon (&lt;30 days)","Active")))</f>
        <v/>
      </c>
      <c r="L72" s="11"/>
      <c r="M72" s="12"/>
      <c r="N72" s="12"/>
    </row>
    <row r="73" customFormat="false" ht="15" hidden="false" customHeight="true" outlineLevel="0" collapsed="false">
      <c r="A73" s="12"/>
      <c r="B73" s="12"/>
      <c r="C73" s="11"/>
      <c r="D73" s="12"/>
      <c r="E73" s="12"/>
      <c r="F73" s="12"/>
      <c r="G73" s="11"/>
      <c r="H73" s="11"/>
      <c r="I73" s="12"/>
      <c r="J73" s="12" t="str">
        <f aca="true">IF(H73="","",H73-TODAY())</f>
        <v/>
      </c>
      <c r="K73" s="12" t="str">
        <f aca="false">IF(H73="","",IF(J73&lt;0,"EXPIRED",IF(J73&lt;=30,"Expiring Soon (&lt;30 days)","Active")))</f>
        <v/>
      </c>
      <c r="L73" s="11"/>
      <c r="M73" s="12"/>
      <c r="N73" s="12"/>
    </row>
    <row r="74" customFormat="false" ht="15" hidden="false" customHeight="true" outlineLevel="0" collapsed="false">
      <c r="A74" s="12"/>
      <c r="B74" s="12"/>
      <c r="C74" s="11"/>
      <c r="D74" s="12"/>
      <c r="E74" s="12"/>
      <c r="F74" s="12"/>
      <c r="G74" s="11"/>
      <c r="H74" s="11"/>
      <c r="I74" s="12"/>
      <c r="J74" s="12" t="str">
        <f aca="true">IF(H74="","",H74-TODAY())</f>
        <v/>
      </c>
      <c r="K74" s="12" t="str">
        <f aca="false">IF(H74="","",IF(J74&lt;0,"EXPIRED",IF(J74&lt;=30,"Expiring Soon (&lt;30 days)","Active")))</f>
        <v/>
      </c>
      <c r="L74" s="11"/>
      <c r="M74" s="12"/>
      <c r="N74" s="12"/>
    </row>
    <row r="75" customFormat="false" ht="15" hidden="false" customHeight="true" outlineLevel="0" collapsed="false">
      <c r="A75" s="12"/>
      <c r="B75" s="12"/>
      <c r="C75" s="11"/>
      <c r="D75" s="12"/>
      <c r="E75" s="12"/>
      <c r="F75" s="12"/>
      <c r="G75" s="11"/>
      <c r="H75" s="11"/>
      <c r="I75" s="12"/>
      <c r="J75" s="12" t="str">
        <f aca="true">IF(H75="","",H75-TODAY())</f>
        <v/>
      </c>
      <c r="K75" s="12" t="str">
        <f aca="false">IF(H75="","",IF(J75&lt;0,"EXPIRED",IF(J75&lt;=30,"Expiring Soon (&lt;30 days)","Active")))</f>
        <v/>
      </c>
      <c r="L75" s="11"/>
      <c r="M75" s="12"/>
      <c r="N75" s="12"/>
    </row>
    <row r="76" customFormat="false" ht="15" hidden="false" customHeight="true" outlineLevel="0" collapsed="false">
      <c r="A76" s="12"/>
      <c r="B76" s="12"/>
      <c r="C76" s="11"/>
      <c r="D76" s="12"/>
      <c r="E76" s="12"/>
      <c r="F76" s="12"/>
      <c r="G76" s="11"/>
      <c r="H76" s="11"/>
      <c r="I76" s="12"/>
      <c r="J76" s="12" t="str">
        <f aca="true">IF(H76="","",H76-TODAY())</f>
        <v/>
      </c>
      <c r="K76" s="12" t="str">
        <f aca="false">IF(H76="","",IF(J76&lt;0,"EXPIRED",IF(J76&lt;=30,"Expiring Soon (&lt;30 days)","Active")))</f>
        <v/>
      </c>
      <c r="L76" s="11"/>
      <c r="M76" s="12"/>
      <c r="N76" s="12"/>
    </row>
    <row r="77" customFormat="false" ht="15" hidden="false" customHeight="true" outlineLevel="0" collapsed="false">
      <c r="A77" s="12"/>
      <c r="B77" s="12"/>
      <c r="C77" s="11"/>
      <c r="D77" s="12"/>
      <c r="E77" s="12"/>
      <c r="F77" s="12"/>
      <c r="G77" s="11"/>
      <c r="H77" s="11"/>
      <c r="I77" s="12"/>
      <c r="J77" s="12" t="str">
        <f aca="true">IF(H77="","",H77-TODAY())</f>
        <v/>
      </c>
      <c r="K77" s="12" t="str">
        <f aca="false">IF(H77="","",IF(J77&lt;0,"EXPIRED",IF(J77&lt;=30,"Expiring Soon (&lt;30 days)","Active")))</f>
        <v/>
      </c>
      <c r="L77" s="11"/>
      <c r="M77" s="12"/>
      <c r="N77" s="12"/>
    </row>
    <row r="78" customFormat="false" ht="15" hidden="false" customHeight="true" outlineLevel="0" collapsed="false">
      <c r="A78" s="12"/>
      <c r="B78" s="12"/>
      <c r="C78" s="11"/>
      <c r="D78" s="12"/>
      <c r="E78" s="12"/>
      <c r="F78" s="12"/>
      <c r="G78" s="11"/>
      <c r="H78" s="11"/>
      <c r="I78" s="12"/>
      <c r="J78" s="12" t="str">
        <f aca="true">IF(H78="","",H78-TODAY())</f>
        <v/>
      </c>
      <c r="K78" s="12" t="str">
        <f aca="false">IF(H78="","",IF(J78&lt;0,"EXPIRED",IF(J78&lt;=30,"Expiring Soon (&lt;30 days)","Active")))</f>
        <v/>
      </c>
      <c r="L78" s="11"/>
      <c r="M78" s="12"/>
      <c r="N78" s="12"/>
    </row>
    <row r="79" customFormat="false" ht="15" hidden="false" customHeight="true" outlineLevel="0" collapsed="false">
      <c r="A79" s="12"/>
      <c r="B79" s="12"/>
      <c r="C79" s="11"/>
      <c r="D79" s="12"/>
      <c r="E79" s="12"/>
      <c r="F79" s="12"/>
      <c r="G79" s="11"/>
      <c r="H79" s="11"/>
      <c r="I79" s="12"/>
      <c r="J79" s="12" t="str">
        <f aca="true">IF(H79="","",H79-TODAY())</f>
        <v/>
      </c>
      <c r="K79" s="12" t="str">
        <f aca="false">IF(H79="","",IF(J79&lt;0,"EXPIRED",IF(J79&lt;=30,"Expiring Soon (&lt;30 days)","Active")))</f>
        <v/>
      </c>
      <c r="L79" s="11"/>
      <c r="M79" s="12"/>
      <c r="N79" s="12"/>
    </row>
    <row r="80" customFormat="false" ht="15" hidden="false" customHeight="true" outlineLevel="0" collapsed="false">
      <c r="A80" s="12"/>
      <c r="B80" s="12"/>
      <c r="C80" s="11"/>
      <c r="D80" s="12"/>
      <c r="E80" s="12"/>
      <c r="F80" s="12"/>
      <c r="G80" s="11"/>
      <c r="H80" s="11"/>
      <c r="I80" s="12"/>
      <c r="J80" s="12" t="str">
        <f aca="true">IF(H80="","",H80-TODAY())</f>
        <v/>
      </c>
      <c r="K80" s="12" t="str">
        <f aca="false">IF(H80="","",IF(J80&lt;0,"EXPIRED",IF(J80&lt;=30,"Expiring Soon (&lt;30 days)","Active")))</f>
        <v/>
      </c>
      <c r="L80" s="11"/>
      <c r="M80" s="12"/>
      <c r="N80" s="12"/>
    </row>
    <row r="81" customFormat="false" ht="15" hidden="false" customHeight="true" outlineLevel="0" collapsed="false">
      <c r="A81" s="12"/>
      <c r="B81" s="12"/>
      <c r="C81" s="11"/>
      <c r="D81" s="12"/>
      <c r="E81" s="12"/>
      <c r="F81" s="12"/>
      <c r="G81" s="11"/>
      <c r="H81" s="11"/>
      <c r="I81" s="12"/>
      <c r="J81" s="12" t="str">
        <f aca="true">IF(H81="","",H81-TODAY())</f>
        <v/>
      </c>
      <c r="K81" s="12" t="str">
        <f aca="false">IF(H81="","",IF(J81&lt;0,"EXPIRED",IF(J81&lt;=30,"Expiring Soon (&lt;30 days)","Active")))</f>
        <v/>
      </c>
      <c r="L81" s="11"/>
      <c r="M81" s="12"/>
      <c r="N81" s="12"/>
    </row>
    <row r="82" customFormat="false" ht="15" hidden="false" customHeight="true" outlineLevel="0" collapsed="false">
      <c r="A82" s="12"/>
      <c r="B82" s="12"/>
      <c r="C82" s="11"/>
      <c r="D82" s="12"/>
      <c r="E82" s="12"/>
      <c r="F82" s="12"/>
      <c r="G82" s="11"/>
      <c r="H82" s="11"/>
      <c r="I82" s="12"/>
      <c r="J82" s="12" t="str">
        <f aca="true">IF(H82="","",H82-TODAY())</f>
        <v/>
      </c>
      <c r="K82" s="12" t="str">
        <f aca="false">IF(H82="","",IF(J82&lt;0,"EXPIRED",IF(J82&lt;=30,"Expiring Soon (&lt;30 days)","Active")))</f>
        <v/>
      </c>
      <c r="L82" s="11"/>
      <c r="M82" s="12"/>
      <c r="N82" s="12"/>
    </row>
    <row r="83" customFormat="false" ht="15" hidden="false" customHeight="true" outlineLevel="0" collapsed="false">
      <c r="A83" s="12"/>
      <c r="B83" s="12"/>
      <c r="C83" s="11"/>
      <c r="D83" s="12"/>
      <c r="E83" s="12"/>
      <c r="F83" s="12"/>
      <c r="G83" s="11"/>
      <c r="H83" s="11"/>
      <c r="I83" s="12"/>
      <c r="J83" s="12" t="str">
        <f aca="true">IF(H83="","",H83-TODAY())</f>
        <v/>
      </c>
      <c r="K83" s="12" t="str">
        <f aca="false">IF(H83="","",IF(J83&lt;0,"EXPIRED",IF(J83&lt;=30,"Expiring Soon (&lt;30 days)","Active")))</f>
        <v/>
      </c>
      <c r="L83" s="11"/>
      <c r="M83" s="12"/>
      <c r="N83" s="12"/>
    </row>
    <row r="84" customFormat="false" ht="15" hidden="false" customHeight="true" outlineLevel="0" collapsed="false">
      <c r="A84" s="12"/>
      <c r="B84" s="12"/>
      <c r="C84" s="11"/>
      <c r="D84" s="12"/>
      <c r="E84" s="12"/>
      <c r="F84" s="12"/>
      <c r="G84" s="11"/>
      <c r="H84" s="11"/>
      <c r="I84" s="12"/>
      <c r="J84" s="12" t="str">
        <f aca="true">IF(H84="","",H84-TODAY())</f>
        <v/>
      </c>
      <c r="K84" s="12" t="str">
        <f aca="false">IF(H84="","",IF(J84&lt;0,"EXPIRED",IF(J84&lt;=30,"Expiring Soon (&lt;30 days)","Active")))</f>
        <v/>
      </c>
      <c r="L84" s="11"/>
      <c r="M84" s="12"/>
      <c r="N84" s="12"/>
    </row>
    <row r="85" customFormat="false" ht="15" hidden="false" customHeight="true" outlineLevel="0" collapsed="false">
      <c r="A85" s="12"/>
      <c r="B85" s="12"/>
      <c r="C85" s="11"/>
      <c r="D85" s="12"/>
      <c r="E85" s="12"/>
      <c r="F85" s="12"/>
      <c r="G85" s="11"/>
      <c r="H85" s="11"/>
      <c r="I85" s="12"/>
      <c r="J85" s="12" t="str">
        <f aca="true">IF(H85="","",H85-TODAY())</f>
        <v/>
      </c>
      <c r="K85" s="12" t="str">
        <f aca="false">IF(H85="","",IF(J85&lt;0,"EXPIRED",IF(J85&lt;=30,"Expiring Soon (&lt;30 days)","Active")))</f>
        <v/>
      </c>
      <c r="L85" s="11"/>
      <c r="M85" s="12"/>
      <c r="N85" s="12"/>
    </row>
    <row r="86" customFormat="false" ht="15" hidden="false" customHeight="true" outlineLevel="0" collapsed="false">
      <c r="A86" s="12"/>
      <c r="B86" s="12"/>
      <c r="C86" s="11"/>
      <c r="D86" s="12"/>
      <c r="E86" s="12"/>
      <c r="F86" s="12"/>
      <c r="G86" s="11"/>
      <c r="H86" s="11"/>
      <c r="I86" s="12"/>
      <c r="J86" s="12" t="str">
        <f aca="true">IF(H86="","",H86-TODAY())</f>
        <v/>
      </c>
      <c r="K86" s="12" t="str">
        <f aca="false">IF(H86="","",IF(J86&lt;0,"EXPIRED",IF(J86&lt;=30,"Expiring Soon (&lt;30 days)","Active")))</f>
        <v/>
      </c>
      <c r="L86" s="11"/>
      <c r="M86" s="12"/>
      <c r="N86" s="12"/>
    </row>
    <row r="87" customFormat="false" ht="15" hidden="false" customHeight="true" outlineLevel="0" collapsed="false">
      <c r="A87" s="12"/>
      <c r="B87" s="12"/>
      <c r="C87" s="11"/>
      <c r="D87" s="12"/>
      <c r="E87" s="12"/>
      <c r="F87" s="12"/>
      <c r="G87" s="11"/>
      <c r="H87" s="11"/>
      <c r="I87" s="12"/>
      <c r="J87" s="12" t="str">
        <f aca="true">IF(H87="","",H87-TODAY())</f>
        <v/>
      </c>
      <c r="K87" s="12" t="str">
        <f aca="false">IF(H87="","",IF(J87&lt;0,"EXPIRED",IF(J87&lt;=30,"Expiring Soon (&lt;30 days)","Active")))</f>
        <v/>
      </c>
      <c r="L87" s="11"/>
      <c r="M87" s="12"/>
      <c r="N87" s="12"/>
    </row>
    <row r="88" customFormat="false" ht="15" hidden="false" customHeight="true" outlineLevel="0" collapsed="false">
      <c r="A88" s="12"/>
      <c r="B88" s="12"/>
      <c r="C88" s="11"/>
      <c r="D88" s="12"/>
      <c r="E88" s="12"/>
      <c r="F88" s="12"/>
      <c r="G88" s="11"/>
      <c r="H88" s="11"/>
      <c r="I88" s="12"/>
      <c r="J88" s="12" t="str">
        <f aca="true">IF(H88="","",H88-TODAY())</f>
        <v/>
      </c>
      <c r="K88" s="12" t="str">
        <f aca="false">IF(H88="","",IF(J88&lt;0,"EXPIRED",IF(J88&lt;=30,"Expiring Soon (&lt;30 days)","Active")))</f>
        <v/>
      </c>
      <c r="L88" s="11"/>
      <c r="M88" s="12"/>
      <c r="N88" s="12"/>
    </row>
    <row r="89" customFormat="false" ht="15" hidden="false" customHeight="true" outlineLevel="0" collapsed="false">
      <c r="A89" s="12"/>
      <c r="B89" s="12"/>
      <c r="C89" s="11"/>
      <c r="D89" s="12"/>
      <c r="E89" s="12"/>
      <c r="F89" s="12"/>
      <c r="G89" s="11"/>
      <c r="H89" s="11"/>
      <c r="I89" s="12"/>
      <c r="J89" s="12" t="str">
        <f aca="true">IF(H89="","",H89-TODAY())</f>
        <v/>
      </c>
      <c r="K89" s="12" t="str">
        <f aca="false">IF(H89="","",IF(J89&lt;0,"EXPIRED",IF(J89&lt;=30,"Expiring Soon (&lt;30 days)","Active")))</f>
        <v/>
      </c>
      <c r="L89" s="11"/>
      <c r="M89" s="12"/>
      <c r="N89" s="12"/>
    </row>
    <row r="90" customFormat="false" ht="15" hidden="false" customHeight="true" outlineLevel="0" collapsed="false">
      <c r="A90" s="12"/>
      <c r="B90" s="12"/>
      <c r="C90" s="11"/>
      <c r="D90" s="12"/>
      <c r="E90" s="12"/>
      <c r="F90" s="12"/>
      <c r="G90" s="11"/>
      <c r="H90" s="11"/>
      <c r="I90" s="12"/>
      <c r="J90" s="12" t="str">
        <f aca="true">IF(H90="","",H90-TODAY())</f>
        <v/>
      </c>
      <c r="K90" s="12" t="str">
        <f aca="false">IF(H90="","",IF(J90&lt;0,"EXPIRED",IF(J90&lt;=30,"Expiring Soon (&lt;30 days)","Active")))</f>
        <v/>
      </c>
      <c r="L90" s="11"/>
      <c r="M90" s="12"/>
      <c r="N90" s="12"/>
    </row>
    <row r="91" customFormat="false" ht="15" hidden="false" customHeight="true" outlineLevel="0" collapsed="false">
      <c r="A91" s="12"/>
      <c r="B91" s="12"/>
      <c r="C91" s="11"/>
      <c r="D91" s="12"/>
      <c r="E91" s="12"/>
      <c r="F91" s="12"/>
      <c r="G91" s="11"/>
      <c r="H91" s="11"/>
      <c r="I91" s="12"/>
      <c r="J91" s="12" t="str">
        <f aca="true">IF(H91="","",H91-TODAY())</f>
        <v/>
      </c>
      <c r="K91" s="12" t="str">
        <f aca="false">IF(H91="","",IF(J91&lt;0,"EXPIRED",IF(J91&lt;=30,"Expiring Soon (&lt;30 days)","Active")))</f>
        <v/>
      </c>
      <c r="L91" s="11"/>
      <c r="M91" s="12"/>
      <c r="N91" s="12"/>
    </row>
    <row r="92" customFormat="false" ht="15" hidden="false" customHeight="true" outlineLevel="0" collapsed="false">
      <c r="A92" s="12"/>
      <c r="B92" s="12"/>
      <c r="C92" s="11"/>
      <c r="D92" s="12"/>
      <c r="E92" s="12"/>
      <c r="F92" s="12"/>
      <c r="G92" s="11"/>
      <c r="H92" s="11"/>
      <c r="I92" s="12"/>
      <c r="J92" s="12" t="str">
        <f aca="true">IF(H92="","",H92-TODAY())</f>
        <v/>
      </c>
      <c r="K92" s="12" t="str">
        <f aca="false">IF(H92="","",IF(J92&lt;0,"EXPIRED",IF(J92&lt;=30,"Expiring Soon (&lt;30 days)","Active")))</f>
        <v/>
      </c>
      <c r="L92" s="11"/>
      <c r="M92" s="12"/>
      <c r="N92" s="12"/>
    </row>
    <row r="93" customFormat="false" ht="15" hidden="false" customHeight="true" outlineLevel="0" collapsed="false">
      <c r="A93" s="12"/>
      <c r="B93" s="12"/>
      <c r="C93" s="11"/>
      <c r="D93" s="12"/>
      <c r="E93" s="12"/>
      <c r="F93" s="12"/>
      <c r="G93" s="11"/>
      <c r="H93" s="11"/>
      <c r="I93" s="12"/>
      <c r="J93" s="12" t="str">
        <f aca="true">IF(H93="","",H93-TODAY())</f>
        <v/>
      </c>
      <c r="K93" s="12" t="str">
        <f aca="false">IF(H93="","",IF(J93&lt;0,"EXPIRED",IF(J93&lt;=30,"Expiring Soon (&lt;30 days)","Active")))</f>
        <v/>
      </c>
      <c r="L93" s="11"/>
      <c r="M93" s="12"/>
      <c r="N93" s="12"/>
    </row>
    <row r="94" customFormat="false" ht="15" hidden="false" customHeight="true" outlineLevel="0" collapsed="false">
      <c r="A94" s="12"/>
      <c r="B94" s="12"/>
      <c r="C94" s="11"/>
      <c r="D94" s="12"/>
      <c r="E94" s="12"/>
      <c r="F94" s="12"/>
      <c r="G94" s="11"/>
      <c r="H94" s="11"/>
      <c r="I94" s="12"/>
      <c r="J94" s="12" t="str">
        <f aca="true">IF(H94="","",H94-TODAY())</f>
        <v/>
      </c>
      <c r="K94" s="12" t="str">
        <f aca="false">IF(H94="","",IF(J94&lt;0,"EXPIRED",IF(J94&lt;=30,"Expiring Soon (&lt;30 days)","Active")))</f>
        <v/>
      </c>
      <c r="L94" s="11"/>
      <c r="M94" s="12"/>
      <c r="N94" s="12"/>
    </row>
    <row r="95" customFormat="false" ht="15" hidden="false" customHeight="true" outlineLevel="0" collapsed="false">
      <c r="A95" s="12"/>
      <c r="B95" s="12"/>
      <c r="C95" s="11"/>
      <c r="D95" s="12"/>
      <c r="E95" s="12"/>
      <c r="F95" s="12"/>
      <c r="G95" s="11"/>
      <c r="H95" s="11"/>
      <c r="I95" s="12"/>
      <c r="J95" s="12" t="str">
        <f aca="true">IF(H95="","",H95-TODAY())</f>
        <v/>
      </c>
      <c r="K95" s="12" t="str">
        <f aca="false">IF(H95="","",IF(J95&lt;0,"EXPIRED",IF(J95&lt;=30,"Expiring Soon (&lt;30 days)","Active")))</f>
        <v/>
      </c>
      <c r="L95" s="11"/>
      <c r="M95" s="12"/>
      <c r="N95" s="12"/>
    </row>
    <row r="96" customFormat="false" ht="15" hidden="false" customHeight="true" outlineLevel="0" collapsed="false">
      <c r="A96" s="12"/>
      <c r="B96" s="12"/>
      <c r="C96" s="11"/>
      <c r="D96" s="12"/>
      <c r="E96" s="12"/>
      <c r="F96" s="12"/>
      <c r="G96" s="11"/>
      <c r="H96" s="11"/>
      <c r="I96" s="12"/>
      <c r="J96" s="12" t="str">
        <f aca="true">IF(H96="","",H96-TODAY())</f>
        <v/>
      </c>
      <c r="K96" s="12" t="str">
        <f aca="false">IF(H96="","",IF(J96&lt;0,"EXPIRED",IF(J96&lt;=30,"Expiring Soon (&lt;30 days)","Active")))</f>
        <v/>
      </c>
      <c r="L96" s="11"/>
      <c r="M96" s="12"/>
      <c r="N96" s="12"/>
    </row>
    <row r="97" customFormat="false" ht="15" hidden="false" customHeight="true" outlineLevel="0" collapsed="false">
      <c r="A97" s="12"/>
      <c r="B97" s="12"/>
      <c r="C97" s="11"/>
      <c r="D97" s="12"/>
      <c r="E97" s="12"/>
      <c r="F97" s="12"/>
      <c r="G97" s="11"/>
      <c r="H97" s="11"/>
      <c r="I97" s="12"/>
      <c r="J97" s="12" t="str">
        <f aca="true">IF(H97="","",H97-TODAY())</f>
        <v/>
      </c>
      <c r="K97" s="12" t="str">
        <f aca="false">IF(H97="","",IF(J97&lt;0,"EXPIRED",IF(J97&lt;=30,"Expiring Soon (&lt;30 days)","Active")))</f>
        <v/>
      </c>
      <c r="L97" s="11"/>
      <c r="M97" s="12"/>
      <c r="N97" s="12"/>
    </row>
    <row r="98" customFormat="false" ht="15" hidden="false" customHeight="true" outlineLevel="0" collapsed="false">
      <c r="A98" s="12"/>
      <c r="B98" s="12"/>
      <c r="C98" s="11"/>
      <c r="D98" s="12"/>
      <c r="E98" s="12"/>
      <c r="F98" s="12"/>
      <c r="G98" s="11"/>
      <c r="H98" s="11"/>
      <c r="I98" s="12"/>
      <c r="J98" s="12" t="str">
        <f aca="true">IF(H98="","",H98-TODAY())</f>
        <v/>
      </c>
      <c r="K98" s="12" t="str">
        <f aca="false">IF(H98="","",IF(J98&lt;0,"EXPIRED",IF(J98&lt;=30,"Expiring Soon (&lt;30 days)","Active")))</f>
        <v/>
      </c>
      <c r="L98" s="11"/>
      <c r="M98" s="12"/>
      <c r="N98" s="12"/>
    </row>
    <row r="99" customFormat="false" ht="15" hidden="false" customHeight="true" outlineLevel="0" collapsed="false">
      <c r="A99" s="12"/>
      <c r="B99" s="12"/>
      <c r="C99" s="11"/>
      <c r="D99" s="12"/>
      <c r="E99" s="12"/>
      <c r="F99" s="12"/>
      <c r="G99" s="11"/>
      <c r="H99" s="11"/>
      <c r="I99" s="12"/>
      <c r="J99" s="12" t="str">
        <f aca="true">IF(H99="","",H99-TODAY())</f>
        <v/>
      </c>
      <c r="K99" s="12" t="str">
        <f aca="false">IF(H99="","",IF(J99&lt;0,"EXPIRED",IF(J99&lt;=30,"Expiring Soon (&lt;30 days)","Active")))</f>
        <v/>
      </c>
      <c r="L99" s="11"/>
      <c r="M99" s="12"/>
      <c r="N99" s="12"/>
    </row>
    <row r="100" customFormat="false" ht="15" hidden="false" customHeight="true" outlineLevel="0" collapsed="false">
      <c r="A100" s="12"/>
      <c r="B100" s="12"/>
      <c r="C100" s="11"/>
      <c r="D100" s="12"/>
      <c r="E100" s="12"/>
      <c r="F100" s="12"/>
      <c r="G100" s="11"/>
      <c r="H100" s="11"/>
      <c r="I100" s="12"/>
      <c r="J100" s="12" t="str">
        <f aca="true">IF(H100="","",H100-TODAY())</f>
        <v/>
      </c>
      <c r="K100" s="12" t="str">
        <f aca="false">IF(H100="","",IF(J100&lt;0,"EXPIRED",IF(J100&lt;=30,"Expiring Soon (&lt;30 days)","Active")))</f>
        <v/>
      </c>
      <c r="L100" s="11"/>
      <c r="M100" s="12"/>
      <c r="N100" s="12"/>
    </row>
    <row r="103" customFormat="false" ht="15" hidden="false" customHeight="true" outlineLevel="0" collapsed="false">
      <c r="A103" s="8" t="s">
        <v>89</v>
      </c>
      <c r="B103" s="8"/>
      <c r="C103" s="8"/>
      <c r="D103" s="8"/>
      <c r="E103" s="8"/>
      <c r="F103" s="8"/>
      <c r="G103" s="8"/>
      <c r="H103" s="8"/>
      <c r="I103" s="8"/>
      <c r="J103" s="8"/>
    </row>
  </sheetData>
  <mergeCells count="2">
    <mergeCell ref="A2:M2"/>
    <mergeCell ref="A103:J103"/>
  </mergeCells>
  <conditionalFormatting sqref="A5:N5 A6:L6 A7 A9:N100 B8:N8 C7:L7 N6:N7">
    <cfRule type="expression" priority="2" aboveAverage="0" equalAverage="0" bottom="0" percent="0" rank="0" text="" dxfId="0">
      <formula>$K5="EXPIRED"</formula>
    </cfRule>
    <cfRule type="expression" priority="3" aboveAverage="0" equalAverage="0" bottom="0" percent="0" rank="0" text="" dxfId="1">
      <formula>$K5="Expiring Soon (&lt;30 days)"</formula>
    </cfRule>
  </conditionalFormatting>
  <conditionalFormatting sqref="K5:K100">
    <cfRule type="cellIs" priority="4" operator="equal" aboveAverage="0" equalAverage="0" bottom="0" percent="0" rank="0" text="" dxfId="2">
      <formula>"Active"</formula>
    </cfRule>
  </conditionalFormatting>
  <conditionalFormatting sqref="M7">
    <cfRule type="expression" priority="5" aboveAverage="0" equalAverage="0" bottom="0" percent="0" rank="0" text="" dxfId="0">
      <formula>$K6="EXPIRED"</formula>
    </cfRule>
    <cfRule type="expression" priority="6" aboveAverage="0" equalAverage="0" bottom="0" percent="0" rank="0" text="" dxfId="1">
      <formula>$K6="Expiring Soon (&lt;30 days)"</formula>
    </cfRule>
  </conditionalFormatting>
  <dataValidations count="1">
    <dataValidation allowBlank="true" errorStyle="stop" operator="between" showDropDown="false" showErrorMessage="false" showInputMessage="false" sqref="F5:F100" type="list">
      <formula1>"NS04,NS05"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1" min="10" style="1" width="13"/>
    <col collapsed="false" customWidth="true" hidden="false" outlineLevel="0" max="12" min="12" style="1" width="16"/>
    <col collapsed="false" customWidth="true" hidden="false" outlineLevel="0" max="13" min="13" style="1" width="26"/>
    <col collapsed="false" customWidth="true" hidden="false" outlineLevel="0" max="14" min="14" style="1" width="55"/>
  </cols>
  <sheetData>
    <row r="1" customFormat="false" ht="23.25" hidden="false" customHeight="true" outlineLevel="0" collapsed="false">
      <c r="A1" s="9" t="s">
        <v>29</v>
      </c>
      <c r="B1" s="9" t="s">
        <v>30</v>
      </c>
      <c r="C1" s="9" t="s">
        <v>32</v>
      </c>
      <c r="D1" s="9" t="s">
        <v>90</v>
      </c>
      <c r="E1" s="9" t="s">
        <v>33</v>
      </c>
      <c r="F1" s="9" t="s">
        <v>34</v>
      </c>
      <c r="G1" s="9" t="s">
        <v>91</v>
      </c>
      <c r="H1" s="9" t="s">
        <v>92</v>
      </c>
      <c r="I1" s="9" t="s">
        <v>93</v>
      </c>
      <c r="J1" s="9" t="s">
        <v>94</v>
      </c>
      <c r="K1" s="9" t="s">
        <v>95</v>
      </c>
      <c r="L1" s="9" t="s">
        <v>39</v>
      </c>
      <c r="M1" s="9" t="s">
        <v>42</v>
      </c>
      <c r="N1" s="3" t="s">
        <v>96</v>
      </c>
    </row>
    <row r="2" customFormat="false" ht="15" hidden="false" customHeight="true" outlineLevel="0" collapsed="false">
      <c r="A2" s="12" t="s">
        <v>43</v>
      </c>
      <c r="B2" s="12" t="s">
        <v>44</v>
      </c>
      <c r="C2" s="12" t="n">
        <v>10051223456</v>
      </c>
      <c r="D2" s="12" t="n">
        <v>10004521</v>
      </c>
      <c r="E2" s="12" t="s">
        <v>45</v>
      </c>
      <c r="F2" s="12" t="s">
        <v>46</v>
      </c>
      <c r="G2" s="12" t="s">
        <v>97</v>
      </c>
      <c r="H2" s="11" t="n">
        <v>46053</v>
      </c>
      <c r="I2" s="16" t="n">
        <v>288</v>
      </c>
      <c r="J2" s="11" t="n">
        <v>46067</v>
      </c>
      <c r="K2" s="16" t="n">
        <v>288</v>
      </c>
      <c r="L2" s="12" t="s">
        <v>98</v>
      </c>
      <c r="M2" s="12"/>
    </row>
    <row r="3" customFormat="false" ht="15" hidden="false" customHeight="true" outlineLevel="0" collapsed="false">
      <c r="A3" s="12" t="s">
        <v>43</v>
      </c>
      <c r="B3" s="12" t="s">
        <v>44</v>
      </c>
      <c r="C3" s="12" t="n">
        <v>10051223456</v>
      </c>
      <c r="D3" s="12" t="n">
        <v>10004521</v>
      </c>
      <c r="E3" s="12" t="s">
        <v>45</v>
      </c>
      <c r="F3" s="12" t="s">
        <v>46</v>
      </c>
      <c r="G3" s="12" t="s">
        <v>99</v>
      </c>
      <c r="H3" s="11" t="n">
        <v>46081</v>
      </c>
      <c r="I3" s="16" t="n">
        <v>288</v>
      </c>
      <c r="J3" s="11" t="n">
        <v>46095</v>
      </c>
      <c r="K3" s="16" t="n">
        <v>288</v>
      </c>
      <c r="L3" s="12" t="s">
        <v>98</v>
      </c>
      <c r="M3" s="12"/>
    </row>
    <row r="4" customFormat="false" ht="15" hidden="false" customHeight="true" outlineLevel="0" collapsed="false">
      <c r="A4" s="12" t="s">
        <v>43</v>
      </c>
      <c r="B4" s="12" t="s">
        <v>44</v>
      </c>
      <c r="C4" s="12" t="n">
        <v>10051223456</v>
      </c>
      <c r="D4" s="12" t="n">
        <v>10004521</v>
      </c>
      <c r="E4" s="12" t="s">
        <v>45</v>
      </c>
      <c r="F4" s="12" t="s">
        <v>46</v>
      </c>
      <c r="G4" s="12" t="s">
        <v>100</v>
      </c>
      <c r="H4" s="11" t="n">
        <v>46112</v>
      </c>
      <c r="I4" s="16" t="n">
        <v>288</v>
      </c>
      <c r="J4" s="11" t="n">
        <v>46126</v>
      </c>
      <c r="K4" s="16" t="n">
        <v>288</v>
      </c>
      <c r="L4" s="12" t="s">
        <v>98</v>
      </c>
      <c r="M4" s="12"/>
    </row>
    <row r="5" customFormat="false" ht="15" hidden="false" customHeight="true" outlineLevel="0" collapsed="false">
      <c r="A5" s="12" t="s">
        <v>43</v>
      </c>
      <c r="B5" s="12" t="s">
        <v>44</v>
      </c>
      <c r="C5" s="12" t="n">
        <v>10051223456</v>
      </c>
      <c r="D5" s="12" t="n">
        <v>10004521</v>
      </c>
      <c r="E5" s="12" t="s">
        <v>45</v>
      </c>
      <c r="F5" s="12" t="s">
        <v>46</v>
      </c>
      <c r="G5" s="12" t="s">
        <v>101</v>
      </c>
      <c r="H5" s="11" t="n">
        <v>46142</v>
      </c>
      <c r="I5" s="16" t="n">
        <v>288</v>
      </c>
      <c r="J5" s="11" t="n">
        <v>46156</v>
      </c>
      <c r="K5" s="16" t="n">
        <v>288</v>
      </c>
      <c r="L5" s="12" t="s">
        <v>98</v>
      </c>
      <c r="M5" s="12"/>
    </row>
    <row r="6" customFormat="false" ht="15" hidden="false" customHeight="true" outlineLevel="0" collapsed="false">
      <c r="A6" s="12" t="s">
        <v>43</v>
      </c>
      <c r="B6" s="12" t="s">
        <v>44</v>
      </c>
      <c r="C6" s="12" t="n">
        <v>10051223456</v>
      </c>
      <c r="D6" s="12" t="n">
        <v>10004521</v>
      </c>
      <c r="E6" s="12" t="s">
        <v>45</v>
      </c>
      <c r="F6" s="12" t="s">
        <v>46</v>
      </c>
      <c r="G6" s="12" t="s">
        <v>102</v>
      </c>
      <c r="H6" s="11" t="n">
        <v>46173</v>
      </c>
      <c r="I6" s="16" t="n">
        <v>288</v>
      </c>
      <c r="J6" s="11" t="n">
        <v>46187</v>
      </c>
      <c r="K6" s="16" t="n">
        <v>288</v>
      </c>
      <c r="L6" s="12" t="s">
        <v>98</v>
      </c>
      <c r="M6" s="12"/>
    </row>
    <row r="7" customFormat="false" ht="15" hidden="false" customHeight="true" outlineLevel="0" collapsed="false">
      <c r="A7" s="12" t="s">
        <v>43</v>
      </c>
      <c r="B7" s="12" t="s">
        <v>44</v>
      </c>
      <c r="C7" s="12" t="n">
        <v>10051223456</v>
      </c>
      <c r="D7" s="12" t="n">
        <v>10004521</v>
      </c>
      <c r="E7" s="12" t="s">
        <v>45</v>
      </c>
      <c r="F7" s="12" t="s">
        <v>46</v>
      </c>
      <c r="G7" s="12" t="s">
        <v>103</v>
      </c>
      <c r="H7" s="11" t="n">
        <v>46203</v>
      </c>
      <c r="I7" s="16" t="n">
        <v>288</v>
      </c>
      <c r="J7" s="11" t="n">
        <v>46217</v>
      </c>
      <c r="K7" s="16" t="n">
        <v>288</v>
      </c>
      <c r="L7" s="12" t="s">
        <v>98</v>
      </c>
      <c r="M7" s="12"/>
    </row>
    <row r="8" customFormat="false" ht="15" hidden="false" customHeight="true" outlineLevel="0" collapsed="false">
      <c r="A8" s="12" t="s">
        <v>49</v>
      </c>
      <c r="B8" s="12" t="s">
        <v>50</v>
      </c>
      <c r="C8" s="12" t="n">
        <v>10052987765</v>
      </c>
      <c r="D8" s="12" t="n">
        <v>10005544</v>
      </c>
      <c r="E8" s="12" t="s">
        <v>51</v>
      </c>
      <c r="F8" s="12" t="s">
        <v>104</v>
      </c>
      <c r="G8" s="12" t="s">
        <v>105</v>
      </c>
      <c r="H8" s="11" t="n">
        <v>46182</v>
      </c>
      <c r="I8" s="16" t="n">
        <v>1850</v>
      </c>
      <c r="J8" s="11" t="n">
        <v>46196</v>
      </c>
      <c r="K8" s="16" t="n">
        <v>1850</v>
      </c>
      <c r="L8" s="12" t="s">
        <v>98</v>
      </c>
      <c r="M8" s="12" t="s">
        <v>106</v>
      </c>
    </row>
    <row r="9" customFormat="false" ht="15" hidden="false" customHeight="true" outlineLevel="0" collapsed="false">
      <c r="A9" s="12" t="s">
        <v>49</v>
      </c>
      <c r="B9" s="12" t="s">
        <v>50</v>
      </c>
      <c r="C9" s="12" t="n">
        <v>10052987765</v>
      </c>
      <c r="D9" s="12" t="n">
        <v>10005544</v>
      </c>
      <c r="E9" s="12" t="s">
        <v>51</v>
      </c>
      <c r="F9" s="12" t="s">
        <v>52</v>
      </c>
      <c r="G9" s="12" t="s">
        <v>107</v>
      </c>
      <c r="H9" s="11" t="n">
        <v>46201</v>
      </c>
      <c r="I9" s="16" t="n">
        <v>95</v>
      </c>
      <c r="J9" s="11"/>
      <c r="K9" s="16"/>
      <c r="L9" s="12" t="s">
        <v>108</v>
      </c>
      <c r="M9" s="12" t="s">
        <v>109</v>
      </c>
    </row>
    <row r="10" customFormat="false" ht="15" hidden="false" customHeight="true" outlineLevel="0" collapsed="false">
      <c r="A10" s="12" t="s">
        <v>49</v>
      </c>
      <c r="B10" s="12" t="s">
        <v>50</v>
      </c>
      <c r="C10" s="12" t="n">
        <v>10052987765</v>
      </c>
      <c r="D10" s="12" t="n">
        <v>10005544</v>
      </c>
      <c r="E10" s="12" t="s">
        <v>51</v>
      </c>
      <c r="F10" s="12" t="s">
        <v>52</v>
      </c>
      <c r="G10" s="12" t="s">
        <v>110</v>
      </c>
      <c r="H10" s="11" t="n">
        <v>46204</v>
      </c>
      <c r="I10" s="16" t="n">
        <v>95</v>
      </c>
      <c r="J10" s="11"/>
      <c r="K10" s="16"/>
      <c r="L10" s="12" t="s">
        <v>108</v>
      </c>
      <c r="M10" s="12" t="s">
        <v>111</v>
      </c>
    </row>
    <row r="11" customFormat="false" ht="15" hidden="false" customHeight="true" outlineLevel="0" collapsed="false">
      <c r="A11" s="12" t="s">
        <v>54</v>
      </c>
      <c r="B11" s="12" t="s">
        <v>55</v>
      </c>
      <c r="C11" s="12" t="n">
        <v>10048811234</v>
      </c>
      <c r="D11" s="12" t="n">
        <v>10003390</v>
      </c>
      <c r="E11" s="12" t="s">
        <v>56</v>
      </c>
      <c r="F11" s="12" t="s">
        <v>52</v>
      </c>
      <c r="G11" s="12" t="s">
        <v>112</v>
      </c>
      <c r="H11" s="11" t="n">
        <v>46032</v>
      </c>
      <c r="I11" s="16" t="n">
        <v>95</v>
      </c>
      <c r="J11" s="11" t="n">
        <v>46046</v>
      </c>
      <c r="K11" s="16" t="n">
        <v>95</v>
      </c>
      <c r="L11" s="12" t="s">
        <v>98</v>
      </c>
      <c r="M11" s="12"/>
    </row>
    <row r="12" customFormat="false" ht="15" hidden="false" customHeight="true" outlineLevel="0" collapsed="false">
      <c r="A12" s="12" t="s">
        <v>54</v>
      </c>
      <c r="B12" s="12" t="s">
        <v>55</v>
      </c>
      <c r="C12" s="12" t="n">
        <v>10048811234</v>
      </c>
      <c r="D12" s="12" t="n">
        <v>10003390</v>
      </c>
      <c r="E12" s="12" t="s">
        <v>56</v>
      </c>
      <c r="F12" s="12" t="s">
        <v>52</v>
      </c>
      <c r="G12" s="12" t="s">
        <v>113</v>
      </c>
      <c r="H12" s="11" t="n">
        <v>46060</v>
      </c>
      <c r="I12" s="16" t="n">
        <v>95</v>
      </c>
      <c r="J12" s="11" t="n">
        <v>46074</v>
      </c>
      <c r="K12" s="16" t="n">
        <v>95</v>
      </c>
      <c r="L12" s="12" t="s">
        <v>98</v>
      </c>
      <c r="M12" s="12"/>
    </row>
    <row r="13" customFormat="false" ht="15" hidden="false" customHeight="true" outlineLevel="0" collapsed="false">
      <c r="A13" s="12" t="s">
        <v>54</v>
      </c>
      <c r="B13" s="12" t="s">
        <v>55</v>
      </c>
      <c r="C13" s="12" t="n">
        <v>10048811234</v>
      </c>
      <c r="D13" s="12" t="n">
        <v>10003390</v>
      </c>
      <c r="E13" s="12" t="s">
        <v>56</v>
      </c>
      <c r="F13" s="12" t="s">
        <v>52</v>
      </c>
      <c r="G13" s="12" t="s">
        <v>114</v>
      </c>
      <c r="H13" s="11" t="n">
        <v>46087</v>
      </c>
      <c r="I13" s="16" t="n">
        <v>95</v>
      </c>
      <c r="J13" s="11" t="n">
        <v>46101</v>
      </c>
      <c r="K13" s="16" t="n">
        <v>95</v>
      </c>
      <c r="L13" s="12" t="s">
        <v>98</v>
      </c>
      <c r="M13" s="12"/>
    </row>
    <row r="14" customFormat="false" ht="15" hidden="false" customHeight="true" outlineLevel="0" collapsed="false">
      <c r="A14" s="12" t="s">
        <v>54</v>
      </c>
      <c r="B14" s="12" t="s">
        <v>55</v>
      </c>
      <c r="C14" s="12" t="n">
        <v>10048811234</v>
      </c>
      <c r="D14" s="12" t="n">
        <v>10003390</v>
      </c>
      <c r="E14" s="12" t="s">
        <v>56</v>
      </c>
      <c r="F14" s="12" t="s">
        <v>52</v>
      </c>
      <c r="G14" s="12" t="s">
        <v>115</v>
      </c>
      <c r="H14" s="11" t="n">
        <v>46115</v>
      </c>
      <c r="I14" s="16" t="n">
        <v>95</v>
      </c>
      <c r="J14" s="11"/>
      <c r="K14" s="16"/>
      <c r="L14" s="12" t="s">
        <v>116</v>
      </c>
      <c r="M14" s="12" t="s">
        <v>117</v>
      </c>
    </row>
    <row r="15" customFormat="false" ht="15" hidden="false" customHeight="true" outlineLevel="0" collapsed="false">
      <c r="A15" s="12" t="s">
        <v>54</v>
      </c>
      <c r="B15" s="12" t="s">
        <v>55</v>
      </c>
      <c r="C15" s="12" t="n">
        <v>10048811234</v>
      </c>
      <c r="D15" s="12" t="n">
        <v>10003390</v>
      </c>
      <c r="E15" s="12" t="s">
        <v>56</v>
      </c>
      <c r="F15" s="12" t="s">
        <v>52</v>
      </c>
      <c r="G15" s="12" t="s">
        <v>118</v>
      </c>
      <c r="H15" s="11" t="n">
        <v>46143</v>
      </c>
      <c r="I15" s="16" t="n">
        <v>95</v>
      </c>
      <c r="J15" s="11"/>
      <c r="K15" s="16"/>
      <c r="L15" s="12" t="s">
        <v>116</v>
      </c>
      <c r="M15" s="12" t="s">
        <v>117</v>
      </c>
    </row>
    <row r="16" customFormat="false" ht="15" hidden="false" customHeight="true" outlineLevel="0" collapsed="false">
      <c r="A16" s="12" t="s">
        <v>58</v>
      </c>
      <c r="B16" s="12" t="s">
        <v>59</v>
      </c>
      <c r="C16" s="12" t="n">
        <v>10047765123</v>
      </c>
      <c r="D16" s="12" t="n">
        <v>10002210</v>
      </c>
      <c r="E16" s="12" t="s">
        <v>60</v>
      </c>
      <c r="F16" s="12" t="s">
        <v>46</v>
      </c>
      <c r="G16" s="12" t="s">
        <v>97</v>
      </c>
      <c r="H16" s="11" t="n">
        <v>46053</v>
      </c>
      <c r="I16" s="16" t="n">
        <v>384</v>
      </c>
      <c r="J16" s="11" t="n">
        <v>46063</v>
      </c>
      <c r="K16" s="16" t="n">
        <v>384</v>
      </c>
      <c r="L16" s="12" t="s">
        <v>98</v>
      </c>
      <c r="M16" s="12"/>
    </row>
    <row r="17" customFormat="false" ht="15" hidden="false" customHeight="true" outlineLevel="0" collapsed="false">
      <c r="A17" s="12" t="s">
        <v>58</v>
      </c>
      <c r="B17" s="12" t="s">
        <v>59</v>
      </c>
      <c r="C17" s="12" t="n">
        <v>10047765123</v>
      </c>
      <c r="D17" s="12" t="n">
        <v>10002210</v>
      </c>
      <c r="E17" s="12" t="s">
        <v>60</v>
      </c>
      <c r="F17" s="12" t="s">
        <v>46</v>
      </c>
      <c r="G17" s="12" t="s">
        <v>99</v>
      </c>
      <c r="H17" s="11" t="n">
        <v>46081</v>
      </c>
      <c r="I17" s="16" t="n">
        <v>384</v>
      </c>
      <c r="J17" s="11" t="n">
        <v>46091</v>
      </c>
      <c r="K17" s="16" t="n">
        <v>384</v>
      </c>
      <c r="L17" s="12" t="s">
        <v>98</v>
      </c>
      <c r="M17" s="12"/>
    </row>
    <row r="18" customFormat="false" ht="15" hidden="false" customHeight="true" outlineLevel="0" collapsed="false">
      <c r="A18" s="12" t="s">
        <v>58</v>
      </c>
      <c r="B18" s="12" t="s">
        <v>59</v>
      </c>
      <c r="C18" s="12" t="n">
        <v>10047765123</v>
      </c>
      <c r="D18" s="12" t="n">
        <v>10002210</v>
      </c>
      <c r="E18" s="12" t="s">
        <v>60</v>
      </c>
      <c r="F18" s="12" t="s">
        <v>46</v>
      </c>
      <c r="G18" s="12" t="s">
        <v>100</v>
      </c>
      <c r="H18" s="11" t="n">
        <v>46112</v>
      </c>
      <c r="I18" s="16" t="n">
        <v>384</v>
      </c>
      <c r="J18" s="11" t="n">
        <v>46122</v>
      </c>
      <c r="K18" s="16" t="n">
        <v>384</v>
      </c>
      <c r="L18" s="12" t="s">
        <v>98</v>
      </c>
      <c r="M18" s="12"/>
    </row>
    <row r="19" customFormat="false" ht="15" hidden="false" customHeight="true" outlineLevel="0" collapsed="false">
      <c r="A19" s="12" t="s">
        <v>58</v>
      </c>
      <c r="B19" s="12" t="s">
        <v>59</v>
      </c>
      <c r="C19" s="12" t="n">
        <v>10047765123</v>
      </c>
      <c r="D19" s="12" t="n">
        <v>10002210</v>
      </c>
      <c r="E19" s="12" t="s">
        <v>60</v>
      </c>
      <c r="F19" s="12" t="s">
        <v>46</v>
      </c>
      <c r="G19" s="12" t="s">
        <v>101</v>
      </c>
      <c r="H19" s="11" t="n">
        <v>46142</v>
      </c>
      <c r="I19" s="16" t="n">
        <v>384</v>
      </c>
      <c r="J19" s="11" t="n">
        <v>46152</v>
      </c>
      <c r="K19" s="16" t="n">
        <v>384</v>
      </c>
      <c r="L19" s="12" t="s">
        <v>98</v>
      </c>
      <c r="M19" s="12"/>
    </row>
    <row r="20" customFormat="false" ht="15" hidden="false" customHeight="true" outlineLevel="0" collapsed="false">
      <c r="A20" s="12" t="s">
        <v>58</v>
      </c>
      <c r="B20" s="12" t="s">
        <v>59</v>
      </c>
      <c r="C20" s="12" t="n">
        <v>10047765123</v>
      </c>
      <c r="D20" s="12" t="n">
        <v>10002210</v>
      </c>
      <c r="E20" s="12" t="s">
        <v>60</v>
      </c>
      <c r="F20" s="12" t="s">
        <v>46</v>
      </c>
      <c r="G20" s="12" t="s">
        <v>102</v>
      </c>
      <c r="H20" s="11" t="n">
        <v>46173</v>
      </c>
      <c r="I20" s="16" t="n">
        <v>384</v>
      </c>
      <c r="J20" s="11" t="n">
        <v>46183</v>
      </c>
      <c r="K20" s="16" t="n">
        <v>384</v>
      </c>
      <c r="L20" s="12" t="s">
        <v>98</v>
      </c>
      <c r="M20" s="12"/>
    </row>
    <row r="21" customFormat="false" ht="15" hidden="false" customHeight="true" outlineLevel="0" collapsed="false">
      <c r="A21" s="12" t="s">
        <v>58</v>
      </c>
      <c r="B21" s="12" t="s">
        <v>59</v>
      </c>
      <c r="C21" s="12" t="n">
        <v>10047765123</v>
      </c>
      <c r="D21" s="12" t="n">
        <v>10002210</v>
      </c>
      <c r="E21" s="12" t="s">
        <v>60</v>
      </c>
      <c r="F21" s="12" t="s">
        <v>46</v>
      </c>
      <c r="G21" s="12" t="s">
        <v>103</v>
      </c>
      <c r="H21" s="11" t="n">
        <v>46203</v>
      </c>
      <c r="I21" s="16" t="n">
        <v>384</v>
      </c>
      <c r="J21" s="11" t="n">
        <v>46213</v>
      </c>
      <c r="K21" s="16" t="n">
        <v>384</v>
      </c>
      <c r="L21" s="12" t="s">
        <v>98</v>
      </c>
      <c r="M21" s="12"/>
    </row>
    <row r="22" customFormat="false" ht="15" hidden="false" customHeight="true" outlineLevel="0" collapsed="false">
      <c r="A22" s="12" t="s">
        <v>63</v>
      </c>
      <c r="B22" s="12" t="s">
        <v>64</v>
      </c>
      <c r="C22" s="12" t="n">
        <v>10053322190</v>
      </c>
      <c r="D22" s="12" t="n">
        <v>10005678</v>
      </c>
      <c r="E22" s="12" t="s">
        <v>65</v>
      </c>
      <c r="F22" s="12" t="s">
        <v>52</v>
      </c>
      <c r="G22" s="12" t="s">
        <v>115</v>
      </c>
      <c r="H22" s="11" t="n">
        <v>46115</v>
      </c>
      <c r="I22" s="16" t="n">
        <v>95</v>
      </c>
      <c r="J22" s="11" t="n">
        <v>46130</v>
      </c>
      <c r="K22" s="16" t="n">
        <v>95</v>
      </c>
      <c r="L22" s="12" t="s">
        <v>98</v>
      </c>
      <c r="M22" s="12"/>
    </row>
    <row r="23" customFormat="false" ht="15" hidden="false" customHeight="true" outlineLevel="0" collapsed="false">
      <c r="A23" s="12" t="s">
        <v>63</v>
      </c>
      <c r="B23" s="12" t="s">
        <v>64</v>
      </c>
      <c r="C23" s="12" t="n">
        <v>10053322190</v>
      </c>
      <c r="D23" s="12" t="n">
        <v>10005678</v>
      </c>
      <c r="E23" s="12" t="s">
        <v>65</v>
      </c>
      <c r="F23" s="12" t="s">
        <v>52</v>
      </c>
      <c r="G23" s="12" t="s">
        <v>115</v>
      </c>
      <c r="H23" s="11" t="n">
        <v>46122</v>
      </c>
      <c r="I23" s="16" t="n">
        <v>95</v>
      </c>
      <c r="J23" s="11" t="n">
        <v>46137</v>
      </c>
      <c r="K23" s="16" t="n">
        <v>95</v>
      </c>
      <c r="L23" s="12" t="s">
        <v>98</v>
      </c>
      <c r="M23" s="12"/>
    </row>
    <row r="24" customFormat="false" ht="15" hidden="false" customHeight="true" outlineLevel="0" collapsed="false">
      <c r="A24" s="12" t="s">
        <v>63</v>
      </c>
      <c r="B24" s="12" t="s">
        <v>64</v>
      </c>
      <c r="C24" s="12" t="n">
        <v>10053322190</v>
      </c>
      <c r="D24" s="12" t="n">
        <v>10005678</v>
      </c>
      <c r="E24" s="12" t="s">
        <v>65</v>
      </c>
      <c r="F24" s="12" t="s">
        <v>52</v>
      </c>
      <c r="G24" s="12" t="s">
        <v>115</v>
      </c>
      <c r="H24" s="11" t="n">
        <v>46129</v>
      </c>
      <c r="I24" s="16" t="n">
        <v>95</v>
      </c>
      <c r="J24" s="11" t="n">
        <v>46144</v>
      </c>
      <c r="K24" s="16" t="n">
        <v>95</v>
      </c>
      <c r="L24" s="12" t="s">
        <v>98</v>
      </c>
      <c r="M24" s="12"/>
    </row>
    <row r="25" customFormat="false" ht="15" hidden="false" customHeight="true" outlineLevel="0" collapsed="false">
      <c r="A25" s="12" t="s">
        <v>63</v>
      </c>
      <c r="B25" s="12" t="s">
        <v>64</v>
      </c>
      <c r="C25" s="12" t="n">
        <v>10053322190</v>
      </c>
      <c r="D25" s="12" t="n">
        <v>10005678</v>
      </c>
      <c r="E25" s="12" t="s">
        <v>65</v>
      </c>
      <c r="F25" s="12" t="s">
        <v>52</v>
      </c>
      <c r="G25" s="12" t="s">
        <v>115</v>
      </c>
      <c r="H25" s="11" t="n">
        <v>46136</v>
      </c>
      <c r="I25" s="16" t="n">
        <v>95</v>
      </c>
      <c r="J25" s="11" t="n">
        <v>46151</v>
      </c>
      <c r="K25" s="16" t="n">
        <v>95</v>
      </c>
      <c r="L25" s="12" t="s">
        <v>98</v>
      </c>
      <c r="M25" s="12"/>
    </row>
    <row r="26" customFormat="false" ht="15" hidden="false" customHeight="true" outlineLevel="0" collapsed="false">
      <c r="A26" s="12" t="s">
        <v>63</v>
      </c>
      <c r="B26" s="12" t="s">
        <v>64</v>
      </c>
      <c r="C26" s="12" t="n">
        <v>10053322190</v>
      </c>
      <c r="D26" s="12" t="n">
        <v>10005678</v>
      </c>
      <c r="E26" s="12" t="s">
        <v>65</v>
      </c>
      <c r="F26" s="12" t="s">
        <v>52</v>
      </c>
      <c r="G26" s="12" t="s">
        <v>118</v>
      </c>
      <c r="H26" s="11" t="n">
        <v>46143</v>
      </c>
      <c r="I26" s="16" t="n">
        <v>95</v>
      </c>
      <c r="J26" s="11" t="n">
        <v>46158</v>
      </c>
      <c r="K26" s="16" t="n">
        <v>95</v>
      </c>
      <c r="L26" s="12" t="s">
        <v>98</v>
      </c>
      <c r="M26" s="12"/>
    </row>
    <row r="27" customFormat="false" ht="15" hidden="false" customHeight="true" outlineLevel="0" collapsed="false">
      <c r="A27" s="12" t="s">
        <v>63</v>
      </c>
      <c r="B27" s="12" t="s">
        <v>64</v>
      </c>
      <c r="C27" s="12" t="n">
        <v>10053322190</v>
      </c>
      <c r="D27" s="12" t="n">
        <v>10005678</v>
      </c>
      <c r="E27" s="12" t="s">
        <v>65</v>
      </c>
      <c r="F27" s="12" t="s">
        <v>52</v>
      </c>
      <c r="G27" s="12" t="s">
        <v>118</v>
      </c>
      <c r="H27" s="11" t="n">
        <v>46150</v>
      </c>
      <c r="I27" s="16" t="n">
        <v>95</v>
      </c>
      <c r="J27" s="11" t="n">
        <v>46165</v>
      </c>
      <c r="K27" s="16" t="n">
        <v>95</v>
      </c>
      <c r="L27" s="12" t="s">
        <v>98</v>
      </c>
      <c r="M27" s="12"/>
    </row>
    <row r="28" customFormat="false" ht="15" hidden="false" customHeight="true" outlineLevel="0" collapsed="false">
      <c r="A28" s="12" t="s">
        <v>67</v>
      </c>
      <c r="B28" s="12" t="s">
        <v>68</v>
      </c>
      <c r="C28" s="12" t="n">
        <v>10049988771</v>
      </c>
      <c r="D28" s="12" t="n">
        <v>10004432</v>
      </c>
      <c r="E28" s="12" t="s">
        <v>69</v>
      </c>
      <c r="F28" s="12" t="s">
        <v>46</v>
      </c>
      <c r="G28" s="12" t="s">
        <v>99</v>
      </c>
      <c r="H28" s="11" t="n">
        <v>46081</v>
      </c>
      <c r="I28" s="16" t="n">
        <v>144</v>
      </c>
      <c r="J28" s="11" t="n">
        <v>46093</v>
      </c>
      <c r="K28" s="16" t="n">
        <v>144</v>
      </c>
      <c r="L28" s="12" t="s">
        <v>98</v>
      </c>
      <c r="M28" s="12"/>
    </row>
    <row r="29" customFormat="false" ht="15" hidden="false" customHeight="true" outlineLevel="0" collapsed="false">
      <c r="A29" s="12" t="s">
        <v>67</v>
      </c>
      <c r="B29" s="12" t="s">
        <v>68</v>
      </c>
      <c r="C29" s="12" t="n">
        <v>10049988771</v>
      </c>
      <c r="D29" s="12" t="n">
        <v>10004432</v>
      </c>
      <c r="E29" s="12" t="s">
        <v>69</v>
      </c>
      <c r="F29" s="12" t="s">
        <v>46</v>
      </c>
      <c r="G29" s="12" t="s">
        <v>100</v>
      </c>
      <c r="H29" s="11" t="n">
        <v>46112</v>
      </c>
      <c r="I29" s="16" t="n">
        <v>144</v>
      </c>
      <c r="J29" s="11" t="n">
        <v>46124</v>
      </c>
      <c r="K29" s="16" t="n">
        <v>144</v>
      </c>
      <c r="L29" s="12" t="s">
        <v>98</v>
      </c>
      <c r="M29" s="12"/>
    </row>
    <row r="30" customFormat="false" ht="15" hidden="false" customHeight="true" outlineLevel="0" collapsed="false">
      <c r="A30" s="12" t="s">
        <v>67</v>
      </c>
      <c r="B30" s="12" t="s">
        <v>68</v>
      </c>
      <c r="C30" s="12" t="n">
        <v>10049988771</v>
      </c>
      <c r="D30" s="12" t="n">
        <v>10004432</v>
      </c>
      <c r="E30" s="12" t="s">
        <v>69</v>
      </c>
      <c r="F30" s="12" t="s">
        <v>46</v>
      </c>
      <c r="G30" s="12" t="s">
        <v>101</v>
      </c>
      <c r="H30" s="11" t="n">
        <v>46142</v>
      </c>
      <c r="I30" s="16" t="n">
        <v>144</v>
      </c>
      <c r="J30" s="11" t="n">
        <v>46154</v>
      </c>
      <c r="K30" s="16" t="n">
        <v>144</v>
      </c>
      <c r="L30" s="12" t="s">
        <v>98</v>
      </c>
      <c r="M30" s="12"/>
    </row>
    <row r="31" customFormat="false" ht="15" hidden="false" customHeight="true" outlineLevel="0" collapsed="false">
      <c r="A31" s="12" t="s">
        <v>67</v>
      </c>
      <c r="B31" s="12" t="s">
        <v>68</v>
      </c>
      <c r="C31" s="12" t="n">
        <v>10049988771</v>
      </c>
      <c r="D31" s="12" t="n">
        <v>10004432</v>
      </c>
      <c r="E31" s="12" t="s">
        <v>69</v>
      </c>
      <c r="F31" s="12" t="s">
        <v>46</v>
      </c>
      <c r="G31" s="12" t="s">
        <v>102</v>
      </c>
      <c r="H31" s="11" t="n">
        <v>46173</v>
      </c>
      <c r="I31" s="16" t="n">
        <v>144</v>
      </c>
      <c r="J31" s="11" t="n">
        <v>46185</v>
      </c>
      <c r="K31" s="16" t="n">
        <v>144</v>
      </c>
      <c r="L31" s="12" t="s">
        <v>98</v>
      </c>
      <c r="M31" s="12"/>
    </row>
    <row r="32" customFormat="false" ht="15" hidden="false" customHeight="true" outlineLevel="0" collapsed="false">
      <c r="A32" s="12" t="s">
        <v>67</v>
      </c>
      <c r="B32" s="12" t="s">
        <v>68</v>
      </c>
      <c r="C32" s="12" t="n">
        <v>10049988771</v>
      </c>
      <c r="D32" s="12" t="n">
        <v>10004432</v>
      </c>
      <c r="E32" s="12" t="s">
        <v>69</v>
      </c>
      <c r="F32" s="12" t="s">
        <v>119</v>
      </c>
      <c r="G32" s="12" t="s">
        <v>120</v>
      </c>
      <c r="H32" s="11" t="n">
        <v>46199</v>
      </c>
      <c r="I32" s="16" t="n">
        <v>85</v>
      </c>
      <c r="J32" s="11"/>
      <c r="K32" s="16"/>
      <c r="L32" s="12" t="s">
        <v>108</v>
      </c>
      <c r="M32" s="12" t="s">
        <v>121</v>
      </c>
    </row>
    <row r="33" customFormat="false" ht="15" hidden="false" customHeight="true" outlineLevel="0" collapsed="false">
      <c r="A33" s="12" t="s">
        <v>72</v>
      </c>
      <c r="B33" s="12" t="s">
        <v>73</v>
      </c>
      <c r="C33" s="12" t="n">
        <v>10046654321</v>
      </c>
      <c r="D33" s="12" t="n">
        <v>10004890</v>
      </c>
      <c r="E33" s="12" t="s">
        <v>74</v>
      </c>
      <c r="F33" s="12" t="s">
        <v>104</v>
      </c>
      <c r="G33" s="12" t="s">
        <v>122</v>
      </c>
      <c r="H33" s="11" t="n">
        <v>46162</v>
      </c>
      <c r="I33" s="16" t="n">
        <v>1850</v>
      </c>
      <c r="J33" s="11" t="n">
        <v>46176</v>
      </c>
      <c r="K33" s="16" t="n">
        <v>1850</v>
      </c>
      <c r="L33" s="12" t="s">
        <v>98</v>
      </c>
      <c r="M33" s="12" t="s">
        <v>123</v>
      </c>
    </row>
    <row r="34" customFormat="false" ht="15" hidden="false" customHeight="true" outlineLevel="0" collapsed="false">
      <c r="A34" s="12" t="s">
        <v>72</v>
      </c>
      <c r="B34" s="12" t="s">
        <v>73</v>
      </c>
      <c r="C34" s="12" t="n">
        <v>10046654321</v>
      </c>
      <c r="D34" s="12" t="n">
        <v>10004890</v>
      </c>
      <c r="E34" s="12" t="s">
        <v>74</v>
      </c>
      <c r="F34" s="12" t="s">
        <v>52</v>
      </c>
      <c r="G34" s="12" t="s">
        <v>107</v>
      </c>
      <c r="H34" s="11" t="n">
        <v>46193</v>
      </c>
      <c r="I34" s="16" t="n">
        <v>95</v>
      </c>
      <c r="J34" s="11" t="n">
        <v>46205</v>
      </c>
      <c r="K34" s="16" t="n">
        <v>95</v>
      </c>
      <c r="L34" s="12" t="s">
        <v>98</v>
      </c>
      <c r="M34" s="12" t="s">
        <v>124</v>
      </c>
    </row>
    <row r="35" customFormat="false" ht="15" hidden="false" customHeight="true" outlineLevel="0" collapsed="false">
      <c r="A35" s="12" t="s">
        <v>72</v>
      </c>
      <c r="B35" s="12" t="s">
        <v>73</v>
      </c>
      <c r="C35" s="12" t="n">
        <v>10046654321</v>
      </c>
      <c r="D35" s="12" t="n">
        <v>10004890</v>
      </c>
      <c r="E35" s="12" t="s">
        <v>74</v>
      </c>
      <c r="F35" s="12" t="s">
        <v>52</v>
      </c>
      <c r="G35" s="12" t="s">
        <v>125</v>
      </c>
      <c r="H35" s="11" t="n">
        <v>46200</v>
      </c>
      <c r="I35" s="16" t="n">
        <v>95</v>
      </c>
      <c r="J35" s="11"/>
      <c r="K35" s="16"/>
      <c r="L35" s="12" t="s">
        <v>108</v>
      </c>
      <c r="M35" s="12"/>
    </row>
    <row r="36" customFormat="false" ht="15" hidden="false" customHeight="true" outlineLevel="0" collapsed="false">
      <c r="A36" s="12" t="s">
        <v>80</v>
      </c>
      <c r="B36" s="12" t="s">
        <v>81</v>
      </c>
      <c r="C36" s="12" t="n">
        <v>10041122334</v>
      </c>
      <c r="D36" s="12" t="n">
        <v>10001005</v>
      </c>
      <c r="E36" s="12" t="s">
        <v>82</v>
      </c>
      <c r="F36" s="12" t="s">
        <v>46</v>
      </c>
      <c r="G36" s="12" t="s">
        <v>126</v>
      </c>
      <c r="H36" s="11" t="n">
        <v>45961</v>
      </c>
      <c r="I36" s="16" t="n">
        <v>192</v>
      </c>
      <c r="J36" s="11" t="n">
        <v>45981</v>
      </c>
      <c r="K36" s="16" t="n">
        <v>192</v>
      </c>
      <c r="L36" s="12" t="s">
        <v>98</v>
      </c>
      <c r="M36" s="12"/>
    </row>
    <row r="37" customFormat="false" ht="15" hidden="false" customHeight="true" outlineLevel="0" collapsed="false">
      <c r="A37" s="12" t="s">
        <v>80</v>
      </c>
      <c r="B37" s="12" t="s">
        <v>81</v>
      </c>
      <c r="C37" s="12" t="n">
        <v>10041122334</v>
      </c>
      <c r="D37" s="12" t="n">
        <v>10001005</v>
      </c>
      <c r="E37" s="12" t="s">
        <v>82</v>
      </c>
      <c r="F37" s="12" t="s">
        <v>46</v>
      </c>
      <c r="G37" s="12" t="s">
        <v>127</v>
      </c>
      <c r="H37" s="11" t="n">
        <v>45991</v>
      </c>
      <c r="I37" s="16" t="n">
        <v>192</v>
      </c>
      <c r="J37" s="11" t="n">
        <v>46011</v>
      </c>
      <c r="K37" s="16" t="n">
        <v>192</v>
      </c>
      <c r="L37" s="12" t="s">
        <v>98</v>
      </c>
      <c r="M37" s="12"/>
    </row>
    <row r="38" customFormat="false" ht="15" hidden="false" customHeight="true" outlineLevel="0" collapsed="false">
      <c r="A38" s="12" t="s">
        <v>80</v>
      </c>
      <c r="B38" s="12" t="s">
        <v>81</v>
      </c>
      <c r="C38" s="12" t="n">
        <v>10041122334</v>
      </c>
      <c r="D38" s="12" t="n">
        <v>10001005</v>
      </c>
      <c r="E38" s="12" t="s">
        <v>82</v>
      </c>
      <c r="F38" s="12" t="s">
        <v>46</v>
      </c>
      <c r="G38" s="12" t="s">
        <v>128</v>
      </c>
      <c r="H38" s="11" t="n">
        <v>46022</v>
      </c>
      <c r="I38" s="16" t="n">
        <v>192</v>
      </c>
      <c r="J38" s="11" t="n">
        <v>46042</v>
      </c>
      <c r="K38" s="16" t="n">
        <v>192</v>
      </c>
      <c r="L38" s="12" t="s">
        <v>98</v>
      </c>
      <c r="M38" s="12"/>
    </row>
    <row r="39" customFormat="false" ht="15" hidden="false" customHeight="true" outlineLevel="0" collapsed="false">
      <c r="A39" s="12" t="s">
        <v>85</v>
      </c>
      <c r="B39" s="12" t="s">
        <v>86</v>
      </c>
      <c r="C39" s="12" t="n">
        <v>10050099887</v>
      </c>
      <c r="D39" s="12" t="n">
        <v>10005121</v>
      </c>
      <c r="E39" s="12" t="s">
        <v>87</v>
      </c>
      <c r="F39" s="12" t="s">
        <v>52</v>
      </c>
      <c r="G39" s="12" t="s">
        <v>114</v>
      </c>
      <c r="H39" s="11" t="n">
        <v>46086</v>
      </c>
      <c r="I39" s="16" t="n">
        <v>95</v>
      </c>
      <c r="J39" s="11" t="n">
        <v>46100</v>
      </c>
      <c r="K39" s="16" t="n">
        <v>95</v>
      </c>
      <c r="L39" s="12" t="s">
        <v>98</v>
      </c>
      <c r="M39" s="12"/>
    </row>
    <row r="40" customFormat="false" ht="15" hidden="false" customHeight="true" outlineLevel="0" collapsed="false">
      <c r="A40" s="12" t="s">
        <v>85</v>
      </c>
      <c r="B40" s="12" t="s">
        <v>86</v>
      </c>
      <c r="C40" s="12" t="n">
        <v>10050099887</v>
      </c>
      <c r="D40" s="12" t="n">
        <v>10005121</v>
      </c>
      <c r="E40" s="12" t="s">
        <v>87</v>
      </c>
      <c r="F40" s="12" t="s">
        <v>52</v>
      </c>
      <c r="G40" s="12" t="s">
        <v>114</v>
      </c>
      <c r="H40" s="11" t="n">
        <v>46100</v>
      </c>
      <c r="I40" s="16" t="n">
        <v>95</v>
      </c>
      <c r="J40" s="11" t="n">
        <v>46114</v>
      </c>
      <c r="K40" s="16" t="n">
        <v>95</v>
      </c>
      <c r="L40" s="12" t="s">
        <v>98</v>
      </c>
      <c r="M40" s="12"/>
    </row>
    <row r="41" customFormat="false" ht="15" hidden="false" customHeight="true" outlineLevel="0" collapsed="false">
      <c r="A41" s="12" t="s">
        <v>85</v>
      </c>
      <c r="B41" s="12" t="s">
        <v>86</v>
      </c>
      <c r="C41" s="12" t="n">
        <v>10050099887</v>
      </c>
      <c r="D41" s="12" t="n">
        <v>10005121</v>
      </c>
      <c r="E41" s="12" t="s">
        <v>87</v>
      </c>
      <c r="F41" s="12" t="s">
        <v>52</v>
      </c>
      <c r="G41" s="12" t="s">
        <v>115</v>
      </c>
      <c r="H41" s="11" t="n">
        <v>46114</v>
      </c>
      <c r="I41" s="16" t="n">
        <v>95</v>
      </c>
      <c r="J41" s="11" t="n">
        <v>46128</v>
      </c>
      <c r="K41" s="16" t="n">
        <v>95</v>
      </c>
      <c r="L41" s="12" t="s">
        <v>98</v>
      </c>
      <c r="M41" s="12"/>
    </row>
    <row r="42" customFormat="false" ht="15" hidden="false" customHeight="true" outlineLevel="0" collapsed="false">
      <c r="A42" s="12" t="s">
        <v>85</v>
      </c>
      <c r="B42" s="12" t="s">
        <v>86</v>
      </c>
      <c r="C42" s="12" t="n">
        <v>10050099887</v>
      </c>
      <c r="D42" s="12" t="n">
        <v>10005121</v>
      </c>
      <c r="E42" s="12" t="s">
        <v>87</v>
      </c>
      <c r="F42" s="12" t="s">
        <v>52</v>
      </c>
      <c r="G42" s="12" t="s">
        <v>115</v>
      </c>
      <c r="H42" s="11" t="n">
        <v>46128</v>
      </c>
      <c r="I42" s="16" t="n">
        <v>95</v>
      </c>
      <c r="J42" s="11" t="n">
        <v>46142</v>
      </c>
      <c r="K42" s="16" t="n">
        <v>95</v>
      </c>
      <c r="L42" s="12" t="s">
        <v>98</v>
      </c>
      <c r="M42" s="12"/>
    </row>
    <row r="43" customFormat="false" ht="15" hidden="false" customHeight="true" outlineLevel="0" collapsed="false">
      <c r="A43" s="12" t="s">
        <v>85</v>
      </c>
      <c r="B43" s="12" t="s">
        <v>86</v>
      </c>
      <c r="C43" s="12" t="n">
        <v>10050099887</v>
      </c>
      <c r="D43" s="12" t="n">
        <v>10005121</v>
      </c>
      <c r="E43" s="12" t="s">
        <v>87</v>
      </c>
      <c r="F43" s="12" t="s">
        <v>119</v>
      </c>
      <c r="G43" s="12" t="s">
        <v>129</v>
      </c>
      <c r="H43" s="11" t="n">
        <v>46030</v>
      </c>
      <c r="I43" s="16" t="n">
        <v>85</v>
      </c>
      <c r="J43" s="11" t="n">
        <v>46044</v>
      </c>
      <c r="K43" s="16" t="n">
        <v>85</v>
      </c>
      <c r="L43" s="12" t="s">
        <v>98</v>
      </c>
      <c r="M43" s="12" t="s">
        <v>130</v>
      </c>
    </row>
    <row r="44" customFormat="false" ht="15" hidden="false" customHeight="true" outlineLevel="0" collapsed="false">
      <c r="A44" s="12" t="s">
        <v>85</v>
      </c>
      <c r="B44" s="12" t="s">
        <v>86</v>
      </c>
      <c r="C44" s="12" t="n">
        <v>10050099887</v>
      </c>
      <c r="D44" s="12" t="n">
        <v>10005121</v>
      </c>
      <c r="E44" s="12" t="s">
        <v>87</v>
      </c>
      <c r="F44" s="12" t="s">
        <v>119</v>
      </c>
      <c r="G44" s="12" t="s">
        <v>129</v>
      </c>
      <c r="H44" s="11" t="n">
        <v>46044</v>
      </c>
      <c r="I44" s="16" t="n">
        <v>85</v>
      </c>
      <c r="J44" s="11" t="n">
        <v>46058</v>
      </c>
      <c r="K44" s="16" t="n">
        <v>85</v>
      </c>
      <c r="L44" s="12" t="s">
        <v>98</v>
      </c>
      <c r="M44" s="12" t="s">
        <v>130</v>
      </c>
    </row>
    <row r="45" customFormat="false" ht="15" hidden="false" customHeight="true" outlineLevel="0" collapsed="false">
      <c r="A45" s="12" t="s">
        <v>85</v>
      </c>
      <c r="B45" s="12" t="s">
        <v>86</v>
      </c>
      <c r="C45" s="12" t="n">
        <v>10050099887</v>
      </c>
      <c r="D45" s="12" t="n">
        <v>10005121</v>
      </c>
      <c r="E45" s="12" t="s">
        <v>87</v>
      </c>
      <c r="F45" s="12" t="s">
        <v>119</v>
      </c>
      <c r="G45" s="12" t="s">
        <v>131</v>
      </c>
      <c r="H45" s="11" t="n">
        <v>46058</v>
      </c>
      <c r="I45" s="16" t="n">
        <v>85</v>
      </c>
      <c r="J45" s="11" t="n">
        <v>46072</v>
      </c>
      <c r="K45" s="16" t="n">
        <v>85</v>
      </c>
      <c r="L45" s="12" t="s">
        <v>98</v>
      </c>
      <c r="M45" s="12" t="s">
        <v>130</v>
      </c>
    </row>
    <row r="46" customFormat="false" ht="15" hidden="false" customHeight="true" outlineLevel="0" collapsed="false">
      <c r="A46" s="12" t="s">
        <v>85</v>
      </c>
      <c r="B46" s="12" t="s">
        <v>86</v>
      </c>
      <c r="C46" s="12" t="n">
        <v>10050099887</v>
      </c>
      <c r="D46" s="12" t="n">
        <v>10005121</v>
      </c>
      <c r="E46" s="12" t="s">
        <v>87</v>
      </c>
      <c r="F46" s="12" t="s">
        <v>119</v>
      </c>
      <c r="G46" s="12" t="s">
        <v>131</v>
      </c>
      <c r="H46" s="11" t="n">
        <v>46072</v>
      </c>
      <c r="I46" s="16" t="n">
        <v>85</v>
      </c>
      <c r="J46" s="11" t="n">
        <v>46086</v>
      </c>
      <c r="K46" s="16" t="n">
        <v>85</v>
      </c>
      <c r="L46" s="12" t="s">
        <v>98</v>
      </c>
      <c r="M46" s="12" t="s">
        <v>130</v>
      </c>
    </row>
    <row r="47" customFormat="false" ht="15" hidden="false" customHeight="true" outlineLevel="0" collapsed="false">
      <c r="A47" s="12" t="s">
        <v>85</v>
      </c>
      <c r="B47" s="12" t="s">
        <v>86</v>
      </c>
      <c r="C47" s="12" t="n">
        <v>10050099887</v>
      </c>
      <c r="D47" s="12" t="n">
        <v>10005121</v>
      </c>
      <c r="E47" s="12" t="s">
        <v>87</v>
      </c>
      <c r="F47" s="12" t="s">
        <v>119</v>
      </c>
      <c r="G47" s="12" t="s">
        <v>132</v>
      </c>
      <c r="H47" s="11" t="n">
        <v>46086</v>
      </c>
      <c r="I47" s="16" t="n">
        <v>85</v>
      </c>
      <c r="J47" s="11" t="n">
        <v>46100</v>
      </c>
      <c r="K47" s="16" t="n">
        <v>85</v>
      </c>
      <c r="L47" s="12" t="s">
        <v>98</v>
      </c>
      <c r="M47" s="12" t="s">
        <v>130</v>
      </c>
    </row>
    <row r="48" customFormat="false" ht="15" hidden="false" customHeight="true" outlineLevel="0" collapsed="false">
      <c r="A48" s="12" t="s">
        <v>85</v>
      </c>
      <c r="B48" s="12" t="s">
        <v>86</v>
      </c>
      <c r="C48" s="12" t="n">
        <v>10050099887</v>
      </c>
      <c r="D48" s="12" t="n">
        <v>10005121</v>
      </c>
      <c r="E48" s="12" t="s">
        <v>87</v>
      </c>
      <c r="F48" s="12" t="s">
        <v>119</v>
      </c>
      <c r="G48" s="12" t="s">
        <v>132</v>
      </c>
      <c r="H48" s="11" t="n">
        <v>46100</v>
      </c>
      <c r="I48" s="16" t="n">
        <v>85</v>
      </c>
      <c r="J48" s="11" t="n">
        <v>46114</v>
      </c>
      <c r="K48" s="16" t="n">
        <v>85</v>
      </c>
      <c r="L48" s="12" t="s">
        <v>98</v>
      </c>
      <c r="M48" s="12" t="s">
        <v>130</v>
      </c>
    </row>
    <row r="49" customFormat="false" ht="15" hidden="false" customHeight="true" outlineLevel="0" collapsed="false">
      <c r="A49" s="12" t="s">
        <v>85</v>
      </c>
      <c r="B49" s="12" t="s">
        <v>86</v>
      </c>
      <c r="C49" s="12" t="n">
        <v>10050099887</v>
      </c>
      <c r="D49" s="12" t="n">
        <v>10005121</v>
      </c>
      <c r="E49" s="12" t="s">
        <v>87</v>
      </c>
      <c r="F49" s="12" t="s">
        <v>119</v>
      </c>
      <c r="G49" s="12" t="s">
        <v>133</v>
      </c>
      <c r="H49" s="11" t="n">
        <v>46114</v>
      </c>
      <c r="I49" s="16" t="n">
        <v>85</v>
      </c>
      <c r="J49" s="11" t="n">
        <v>46128</v>
      </c>
      <c r="K49" s="16" t="n">
        <v>85</v>
      </c>
      <c r="L49" s="12" t="s">
        <v>98</v>
      </c>
      <c r="M49" s="12" t="s">
        <v>130</v>
      </c>
    </row>
    <row r="50" customFormat="false" ht="15" hidden="false" customHeight="true" outlineLevel="0" collapsed="false">
      <c r="A50" s="12" t="s">
        <v>85</v>
      </c>
      <c r="B50" s="12" t="s">
        <v>86</v>
      </c>
      <c r="C50" s="12" t="n">
        <v>10050099887</v>
      </c>
      <c r="D50" s="12" t="n">
        <v>10005121</v>
      </c>
      <c r="E50" s="12" t="s">
        <v>87</v>
      </c>
      <c r="F50" s="12" t="s">
        <v>119</v>
      </c>
      <c r="G50" s="12" t="s">
        <v>133</v>
      </c>
      <c r="H50" s="11" t="n">
        <v>46128</v>
      </c>
      <c r="I50" s="16" t="n">
        <v>85</v>
      </c>
      <c r="J50" s="11" t="n">
        <v>46142</v>
      </c>
      <c r="K50" s="16" t="n">
        <v>85</v>
      </c>
      <c r="L50" s="12" t="s">
        <v>98</v>
      </c>
      <c r="M50" s="12" t="s">
        <v>130</v>
      </c>
    </row>
    <row r="51" customFormat="false" ht="15" hidden="false" customHeight="true" outlineLevel="0" collapsed="false">
      <c r="A51" s="12" t="s">
        <v>85</v>
      </c>
      <c r="B51" s="12" t="s">
        <v>86</v>
      </c>
      <c r="C51" s="12" t="n">
        <v>10050099887</v>
      </c>
      <c r="D51" s="12" t="n">
        <v>10005121</v>
      </c>
      <c r="E51" s="12" t="s">
        <v>87</v>
      </c>
      <c r="F51" s="12" t="s">
        <v>119</v>
      </c>
      <c r="G51" s="12" t="s">
        <v>133</v>
      </c>
      <c r="H51" s="11" t="n">
        <v>46142</v>
      </c>
      <c r="I51" s="16" t="n">
        <v>85</v>
      </c>
      <c r="J51" s="11" t="n">
        <v>46156</v>
      </c>
      <c r="K51" s="16" t="n">
        <v>85</v>
      </c>
      <c r="L51" s="12" t="s">
        <v>98</v>
      </c>
      <c r="M51" s="12" t="s">
        <v>130</v>
      </c>
    </row>
    <row r="52" customFormat="false" ht="15" hidden="false" customHeight="true" outlineLevel="0" collapsed="false">
      <c r="A52" s="12" t="s">
        <v>85</v>
      </c>
      <c r="B52" s="12" t="s">
        <v>86</v>
      </c>
      <c r="C52" s="12" t="n">
        <v>10050099887</v>
      </c>
      <c r="D52" s="12" t="n">
        <v>10005121</v>
      </c>
      <c r="E52" s="12" t="s">
        <v>87</v>
      </c>
      <c r="F52" s="12" t="s">
        <v>119</v>
      </c>
      <c r="G52" s="12" t="s">
        <v>134</v>
      </c>
      <c r="H52" s="11" t="n">
        <v>46156</v>
      </c>
      <c r="I52" s="16" t="n">
        <v>85</v>
      </c>
      <c r="J52" s="11" t="n">
        <v>46170</v>
      </c>
      <c r="K52" s="16" t="n">
        <v>85</v>
      </c>
      <c r="L52" s="12" t="s">
        <v>98</v>
      </c>
      <c r="M52" s="12" t="s">
        <v>130</v>
      </c>
    </row>
    <row r="53" customFormat="false" ht="15" hidden="false" customHeight="true" outlineLevel="0" collapsed="false">
      <c r="A53" s="12" t="s">
        <v>135</v>
      </c>
      <c r="B53" s="12" t="s">
        <v>136</v>
      </c>
      <c r="C53" s="12" t="n">
        <v>10055500112</v>
      </c>
      <c r="D53" s="12"/>
      <c r="E53" s="12"/>
      <c r="F53" s="12" t="s">
        <v>137</v>
      </c>
      <c r="G53" s="12" t="s">
        <v>105</v>
      </c>
      <c r="H53" s="11" t="n">
        <v>46188</v>
      </c>
      <c r="I53" s="16" t="n">
        <v>650</v>
      </c>
      <c r="J53" s="11" t="n">
        <v>46202</v>
      </c>
      <c r="K53" s="16" t="n">
        <v>650</v>
      </c>
      <c r="L53" s="12" t="s">
        <v>98</v>
      </c>
      <c r="M53" s="12"/>
    </row>
    <row r="54" customFormat="false" ht="15" hidden="false" customHeight="true" outlineLevel="0" collapsed="false">
      <c r="A54" s="12" t="s">
        <v>138</v>
      </c>
      <c r="B54" s="12" t="s">
        <v>139</v>
      </c>
      <c r="C54" s="12" t="n">
        <v>10055711223</v>
      </c>
      <c r="D54" s="12"/>
      <c r="E54" s="12"/>
      <c r="F54" s="12" t="s">
        <v>140</v>
      </c>
      <c r="G54" s="12" t="s">
        <v>105</v>
      </c>
      <c r="H54" s="11" t="n">
        <v>46195</v>
      </c>
      <c r="I54" s="16" t="n">
        <v>1200</v>
      </c>
      <c r="J54" s="11"/>
      <c r="K54" s="16"/>
      <c r="L54" s="12" t="s">
        <v>108</v>
      </c>
      <c r="M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1"/>
      <c r="I55" s="17"/>
      <c r="J55" s="11"/>
      <c r="K55" s="17"/>
      <c r="L55" s="12"/>
      <c r="M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1"/>
      <c r="I56" s="17"/>
      <c r="J56" s="11"/>
      <c r="K56" s="17"/>
      <c r="L56" s="12"/>
      <c r="M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1"/>
      <c r="I57" s="17"/>
      <c r="J57" s="11"/>
      <c r="K57" s="17"/>
      <c r="L57" s="12"/>
      <c r="M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1"/>
      <c r="I58" s="17"/>
      <c r="J58" s="11"/>
      <c r="K58" s="17"/>
      <c r="L58" s="12"/>
      <c r="M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1"/>
      <c r="I59" s="17"/>
      <c r="J59" s="11"/>
      <c r="K59" s="17"/>
      <c r="L59" s="12"/>
      <c r="M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1"/>
      <c r="I60" s="17"/>
      <c r="J60" s="11"/>
      <c r="K60" s="17"/>
      <c r="L60" s="12"/>
      <c r="M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1"/>
      <c r="I61" s="17"/>
      <c r="J61" s="11"/>
      <c r="K61" s="17"/>
      <c r="L61" s="12"/>
      <c r="M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1"/>
      <c r="I62" s="17"/>
      <c r="J62" s="11"/>
      <c r="K62" s="17"/>
      <c r="L62" s="12"/>
      <c r="M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1"/>
      <c r="I63" s="17"/>
      <c r="J63" s="11"/>
      <c r="K63" s="17"/>
      <c r="L63" s="12"/>
      <c r="M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1"/>
      <c r="I64" s="17"/>
      <c r="J64" s="11"/>
      <c r="K64" s="17"/>
      <c r="L64" s="12"/>
      <c r="M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1"/>
      <c r="I65" s="17"/>
      <c r="J65" s="11"/>
      <c r="K65" s="17"/>
      <c r="L65" s="12"/>
      <c r="M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1"/>
      <c r="I66" s="17"/>
      <c r="J66" s="11"/>
      <c r="K66" s="17"/>
      <c r="L66" s="12"/>
      <c r="M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1"/>
      <c r="I67" s="17"/>
      <c r="J67" s="11"/>
      <c r="K67" s="17"/>
      <c r="L67" s="12"/>
      <c r="M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1"/>
      <c r="I68" s="17"/>
      <c r="J68" s="11"/>
      <c r="K68" s="17"/>
      <c r="L68" s="12"/>
      <c r="M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1"/>
      <c r="I69" s="17"/>
      <c r="J69" s="11"/>
      <c r="K69" s="17"/>
      <c r="L69" s="12"/>
      <c r="M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1"/>
      <c r="I70" s="17"/>
      <c r="J70" s="11"/>
      <c r="K70" s="17"/>
      <c r="L70" s="12"/>
      <c r="M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1"/>
      <c r="I71" s="17"/>
      <c r="J71" s="11"/>
      <c r="K71" s="17"/>
      <c r="L71" s="12"/>
      <c r="M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1"/>
      <c r="I72" s="17"/>
      <c r="J72" s="11"/>
      <c r="K72" s="17"/>
      <c r="L72" s="12"/>
      <c r="M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1"/>
      <c r="I73" s="17"/>
      <c r="J73" s="11"/>
      <c r="K73" s="17"/>
      <c r="L73" s="12"/>
      <c r="M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1"/>
      <c r="I74" s="17"/>
      <c r="J74" s="11"/>
      <c r="K74" s="17"/>
      <c r="L74" s="12"/>
      <c r="M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1"/>
      <c r="I75" s="17"/>
      <c r="J75" s="11"/>
      <c r="K75" s="17"/>
      <c r="L75" s="12"/>
      <c r="M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1"/>
      <c r="I76" s="17"/>
      <c r="J76" s="11"/>
      <c r="K76" s="17"/>
      <c r="L76" s="12"/>
      <c r="M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1"/>
      <c r="I77" s="17"/>
      <c r="J77" s="11"/>
      <c r="K77" s="17"/>
      <c r="L77" s="12"/>
      <c r="M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1"/>
      <c r="I78" s="17"/>
      <c r="J78" s="11"/>
      <c r="K78" s="17"/>
      <c r="L78" s="12"/>
      <c r="M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1"/>
      <c r="I79" s="17"/>
      <c r="J79" s="11"/>
      <c r="K79" s="17"/>
      <c r="L79" s="12"/>
      <c r="M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1"/>
      <c r="I80" s="17"/>
      <c r="J80" s="11"/>
      <c r="K80" s="17"/>
      <c r="L80" s="12"/>
      <c r="M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1"/>
      <c r="I81" s="17"/>
      <c r="J81" s="11"/>
      <c r="K81" s="17"/>
      <c r="L81" s="12"/>
      <c r="M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1"/>
      <c r="I82" s="17"/>
      <c r="J82" s="11"/>
      <c r="K82" s="17"/>
      <c r="L82" s="12"/>
      <c r="M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1"/>
      <c r="I83" s="17"/>
      <c r="J83" s="11"/>
      <c r="K83" s="17"/>
      <c r="L83" s="12"/>
      <c r="M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1"/>
      <c r="I84" s="17"/>
      <c r="J84" s="11"/>
      <c r="K84" s="17"/>
      <c r="L84" s="12"/>
      <c r="M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1"/>
      <c r="I85" s="17"/>
      <c r="J85" s="11"/>
      <c r="K85" s="17"/>
      <c r="L85" s="12"/>
      <c r="M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1"/>
      <c r="I86" s="17"/>
      <c r="J86" s="11"/>
      <c r="K86" s="17"/>
      <c r="L86" s="12"/>
      <c r="M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1"/>
      <c r="I87" s="17"/>
      <c r="J87" s="11"/>
      <c r="K87" s="17"/>
      <c r="L87" s="12"/>
      <c r="M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1"/>
      <c r="I88" s="17"/>
      <c r="J88" s="11"/>
      <c r="K88" s="17"/>
      <c r="L88" s="12"/>
      <c r="M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1"/>
      <c r="I89" s="17"/>
      <c r="J89" s="11"/>
      <c r="K89" s="17"/>
      <c r="L89" s="12"/>
      <c r="M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1"/>
      <c r="I90" s="17"/>
      <c r="J90" s="11"/>
      <c r="K90" s="17"/>
      <c r="L90" s="12"/>
      <c r="M90" s="12"/>
    </row>
    <row r="91" customFormat="false" ht="15" hidden="false" customHeight="true" outlineLevel="0" collapsed="false">
      <c r="A91" s="12"/>
      <c r="B91" s="12"/>
      <c r="C91" s="12"/>
      <c r="D91" s="12"/>
      <c r="E91" s="12"/>
      <c r="F91" s="12"/>
      <c r="G91" s="12"/>
      <c r="H91" s="11"/>
      <c r="I91" s="17"/>
      <c r="J91" s="11"/>
      <c r="K91" s="17"/>
      <c r="L91" s="12"/>
      <c r="M91" s="12"/>
    </row>
    <row r="92" customFormat="false" ht="15" hidden="false" customHeight="true" outlineLevel="0" collapsed="false">
      <c r="A92" s="12"/>
      <c r="B92" s="12"/>
      <c r="C92" s="12"/>
      <c r="D92" s="12"/>
      <c r="E92" s="12"/>
      <c r="F92" s="12"/>
      <c r="G92" s="12"/>
      <c r="H92" s="11"/>
      <c r="I92" s="17"/>
      <c r="J92" s="11"/>
      <c r="K92" s="17"/>
      <c r="L92" s="12"/>
      <c r="M92" s="12"/>
    </row>
    <row r="93" customFormat="false" ht="15" hidden="false" customHeight="true" outlineLevel="0" collapsed="false">
      <c r="A93" s="12"/>
      <c r="B93" s="12"/>
      <c r="C93" s="12"/>
      <c r="D93" s="12"/>
      <c r="E93" s="12"/>
      <c r="F93" s="12"/>
      <c r="G93" s="12"/>
      <c r="H93" s="11"/>
      <c r="I93" s="17"/>
      <c r="J93" s="11"/>
      <c r="K93" s="17"/>
      <c r="L93" s="12"/>
      <c r="M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1"/>
      <c r="I94" s="17"/>
      <c r="J94" s="11"/>
      <c r="K94" s="17"/>
      <c r="L94" s="12"/>
      <c r="M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1"/>
      <c r="I95" s="17"/>
      <c r="J95" s="11"/>
      <c r="K95" s="17"/>
      <c r="L95" s="12"/>
      <c r="M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1"/>
      <c r="I96" s="17"/>
      <c r="J96" s="11"/>
      <c r="K96" s="17"/>
      <c r="L96" s="12"/>
      <c r="M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1"/>
      <c r="I97" s="17"/>
      <c r="J97" s="11"/>
      <c r="K97" s="17"/>
      <c r="L97" s="12"/>
      <c r="M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1"/>
      <c r="I98" s="17"/>
      <c r="J98" s="11"/>
      <c r="K98" s="17"/>
      <c r="L98" s="12"/>
      <c r="M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1"/>
      <c r="I99" s="17"/>
      <c r="J99" s="11"/>
      <c r="K99" s="17"/>
      <c r="L99" s="12"/>
      <c r="M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1"/>
      <c r="I100" s="17"/>
      <c r="J100" s="11"/>
      <c r="K100" s="17"/>
      <c r="L100" s="12"/>
      <c r="M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1"/>
      <c r="I101" s="17"/>
      <c r="J101" s="11"/>
      <c r="K101" s="17"/>
      <c r="L101" s="12"/>
      <c r="M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1"/>
      <c r="I102" s="17"/>
      <c r="J102" s="11"/>
      <c r="K102" s="17"/>
      <c r="L102" s="12"/>
      <c r="M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1"/>
      <c r="I103" s="17"/>
      <c r="J103" s="11"/>
      <c r="K103" s="17"/>
      <c r="L103" s="12"/>
      <c r="M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1"/>
      <c r="I104" s="17"/>
      <c r="J104" s="11"/>
      <c r="K104" s="17"/>
      <c r="L104" s="12"/>
      <c r="M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1"/>
      <c r="I105" s="17"/>
      <c r="J105" s="11"/>
      <c r="K105" s="17"/>
      <c r="L105" s="12"/>
      <c r="M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1"/>
      <c r="I106" s="17"/>
      <c r="J106" s="11"/>
      <c r="K106" s="17"/>
      <c r="L106" s="12"/>
      <c r="M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1"/>
      <c r="I107" s="17"/>
      <c r="J107" s="11"/>
      <c r="K107" s="17"/>
      <c r="L107" s="12"/>
      <c r="M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1"/>
      <c r="I108" s="17"/>
      <c r="J108" s="11"/>
      <c r="K108" s="17"/>
      <c r="L108" s="12"/>
      <c r="M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1"/>
      <c r="I109" s="17"/>
      <c r="J109" s="11"/>
      <c r="K109" s="17"/>
      <c r="L109" s="12"/>
      <c r="M109" s="12"/>
    </row>
    <row r="110" customFormat="false" ht="1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1"/>
      <c r="I110" s="17"/>
      <c r="J110" s="11"/>
      <c r="K110" s="17"/>
      <c r="L110" s="12"/>
      <c r="M110" s="12"/>
    </row>
    <row r="111" customFormat="false" ht="1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1"/>
      <c r="I111" s="17"/>
      <c r="J111" s="11"/>
      <c r="K111" s="17"/>
      <c r="L111" s="12"/>
      <c r="M111" s="12"/>
    </row>
    <row r="112" customFormat="false" ht="1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1"/>
      <c r="I112" s="17"/>
      <c r="J112" s="11"/>
      <c r="K112" s="17"/>
      <c r="L112" s="12"/>
      <c r="M112" s="12"/>
    </row>
    <row r="113" customFormat="false" ht="15" hidden="false" customHeight="true" outlineLevel="0" collapsed="false">
      <c r="A113" s="12"/>
      <c r="B113" s="12"/>
      <c r="C113" s="12"/>
      <c r="D113" s="12"/>
      <c r="E113" s="12"/>
      <c r="F113" s="12"/>
      <c r="G113" s="12"/>
      <c r="H113" s="11"/>
      <c r="I113" s="17"/>
      <c r="J113" s="11"/>
      <c r="K113" s="17"/>
      <c r="L113" s="12"/>
      <c r="M113" s="12"/>
    </row>
    <row r="114" customFormat="false" ht="1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11"/>
      <c r="I114" s="17"/>
      <c r="J114" s="11"/>
      <c r="K114" s="17"/>
      <c r="L114" s="12"/>
      <c r="M114" s="12"/>
    </row>
    <row r="115" customFormat="false" ht="1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1"/>
      <c r="I115" s="17"/>
      <c r="J115" s="11"/>
      <c r="K115" s="17"/>
      <c r="L115" s="12"/>
      <c r="M115" s="12"/>
    </row>
    <row r="116" customFormat="false" ht="1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1"/>
      <c r="I116" s="17"/>
      <c r="J116" s="11"/>
      <c r="K116" s="17"/>
      <c r="L116" s="12"/>
      <c r="M116" s="12"/>
    </row>
    <row r="117" customFormat="false" ht="1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1"/>
      <c r="I117" s="17"/>
      <c r="J117" s="11"/>
      <c r="K117" s="17"/>
      <c r="L117" s="12"/>
      <c r="M117" s="12"/>
    </row>
    <row r="118" customFormat="false" ht="1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1"/>
      <c r="I118" s="17"/>
      <c r="J118" s="11"/>
      <c r="K118" s="17"/>
      <c r="L118" s="12"/>
      <c r="M118" s="12"/>
    </row>
    <row r="119" customFormat="false" ht="1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1"/>
      <c r="I119" s="17"/>
      <c r="J119" s="11"/>
      <c r="K119" s="17"/>
      <c r="L119" s="12"/>
      <c r="M119" s="12"/>
    </row>
    <row r="120" customFormat="false" ht="1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1"/>
      <c r="I120" s="17"/>
      <c r="J120" s="11"/>
      <c r="K120" s="17"/>
      <c r="L120" s="12"/>
      <c r="M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1"/>
      <c r="I121" s="17"/>
      <c r="J121" s="11"/>
      <c r="K121" s="17"/>
      <c r="L121" s="12"/>
      <c r="M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1"/>
      <c r="I122" s="17"/>
      <c r="J122" s="11"/>
      <c r="K122" s="17"/>
      <c r="L122" s="12"/>
      <c r="M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1"/>
      <c r="I123" s="17"/>
      <c r="J123" s="11"/>
      <c r="K123" s="17"/>
      <c r="L123" s="12"/>
      <c r="M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1"/>
      <c r="I124" s="17"/>
      <c r="J124" s="11"/>
      <c r="K124" s="17"/>
      <c r="L124" s="12"/>
      <c r="M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1"/>
      <c r="I125" s="17"/>
      <c r="J125" s="11"/>
      <c r="K125" s="17"/>
      <c r="L125" s="12"/>
      <c r="M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1"/>
      <c r="I126" s="17"/>
      <c r="J126" s="11"/>
      <c r="K126" s="17"/>
      <c r="L126" s="12"/>
      <c r="M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1"/>
      <c r="I127" s="17"/>
      <c r="J127" s="11"/>
      <c r="K127" s="17"/>
      <c r="L127" s="12"/>
      <c r="M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1"/>
      <c r="I128" s="17"/>
      <c r="J128" s="11"/>
      <c r="K128" s="17"/>
      <c r="L128" s="12"/>
      <c r="M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1"/>
      <c r="I129" s="17"/>
      <c r="J129" s="11"/>
      <c r="K129" s="17"/>
      <c r="L129" s="12"/>
      <c r="M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1"/>
      <c r="I130" s="17"/>
      <c r="J130" s="11"/>
      <c r="K130" s="17"/>
      <c r="L130" s="12"/>
      <c r="M130" s="12"/>
    </row>
    <row r="131" customFormat="false" ht="1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1"/>
      <c r="I131" s="17"/>
      <c r="J131" s="11"/>
      <c r="K131" s="17"/>
      <c r="L131" s="12"/>
      <c r="M131" s="12"/>
    </row>
    <row r="132" customFormat="false" ht="1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1"/>
      <c r="I132" s="17"/>
      <c r="J132" s="11"/>
      <c r="K132" s="17"/>
      <c r="L132" s="12"/>
      <c r="M132" s="12"/>
    </row>
    <row r="133" customFormat="false" ht="1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1"/>
      <c r="I133" s="17"/>
      <c r="J133" s="11"/>
      <c r="K133" s="17"/>
      <c r="L133" s="12"/>
      <c r="M133" s="12"/>
    </row>
    <row r="134" customFormat="false" ht="1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1"/>
      <c r="I134" s="17"/>
      <c r="J134" s="11"/>
      <c r="K134" s="17"/>
      <c r="L134" s="12"/>
      <c r="M134" s="12"/>
    </row>
    <row r="135" customFormat="false" ht="1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1"/>
      <c r="I135" s="17"/>
      <c r="J135" s="11"/>
      <c r="K135" s="17"/>
      <c r="L135" s="12"/>
      <c r="M135" s="12"/>
    </row>
    <row r="136" customFormat="false" ht="1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1"/>
      <c r="I136" s="17"/>
      <c r="J136" s="11"/>
      <c r="K136" s="17"/>
      <c r="L136" s="12"/>
      <c r="M136" s="12"/>
    </row>
    <row r="137" customFormat="false" ht="1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1"/>
      <c r="I137" s="17"/>
      <c r="J137" s="11"/>
      <c r="K137" s="17"/>
      <c r="L137" s="12"/>
      <c r="M137" s="12"/>
    </row>
    <row r="138" customFormat="false" ht="15" hidden="false" customHeight="true" outlineLevel="0" collapsed="false">
      <c r="A138" s="12"/>
      <c r="B138" s="12"/>
      <c r="C138" s="12"/>
      <c r="D138" s="12"/>
      <c r="E138" s="12"/>
      <c r="F138" s="12"/>
      <c r="G138" s="12"/>
      <c r="H138" s="11"/>
      <c r="I138" s="17"/>
      <c r="J138" s="11"/>
      <c r="K138" s="17"/>
      <c r="L138" s="12"/>
      <c r="M138" s="12"/>
    </row>
    <row r="139" customFormat="false" ht="15" hidden="false" customHeight="true" outlineLevel="0" collapsed="false">
      <c r="A139" s="12"/>
      <c r="B139" s="12"/>
      <c r="C139" s="12"/>
      <c r="D139" s="12"/>
      <c r="E139" s="12"/>
      <c r="F139" s="12"/>
      <c r="G139" s="12"/>
      <c r="H139" s="11"/>
      <c r="I139" s="17"/>
      <c r="J139" s="11"/>
      <c r="K139" s="17"/>
      <c r="L139" s="12"/>
      <c r="M139" s="12"/>
    </row>
    <row r="140" customFormat="false" ht="15" hidden="false" customHeight="true" outlineLevel="0" collapsed="false">
      <c r="A140" s="12"/>
      <c r="B140" s="12"/>
      <c r="C140" s="12"/>
      <c r="D140" s="12"/>
      <c r="E140" s="12"/>
      <c r="F140" s="12"/>
      <c r="G140" s="12"/>
      <c r="H140" s="11"/>
      <c r="I140" s="17"/>
      <c r="J140" s="11"/>
      <c r="K140" s="17"/>
      <c r="L140" s="12"/>
      <c r="M140" s="12"/>
    </row>
    <row r="141" customFormat="false" ht="15" hidden="false" customHeight="true" outlineLevel="0" collapsed="false">
      <c r="A141" s="12"/>
      <c r="B141" s="12"/>
      <c r="C141" s="12"/>
      <c r="D141" s="12"/>
      <c r="E141" s="12"/>
      <c r="F141" s="12"/>
      <c r="G141" s="12"/>
      <c r="H141" s="11"/>
      <c r="I141" s="17"/>
      <c r="J141" s="11"/>
      <c r="K141" s="17"/>
      <c r="L141" s="12"/>
      <c r="M141" s="12"/>
    </row>
    <row r="142" customFormat="false" ht="15" hidden="false" customHeight="true" outlineLevel="0" collapsed="false">
      <c r="A142" s="12"/>
      <c r="B142" s="12"/>
      <c r="C142" s="12"/>
      <c r="D142" s="12"/>
      <c r="E142" s="12"/>
      <c r="F142" s="12"/>
      <c r="G142" s="12"/>
      <c r="H142" s="11"/>
      <c r="I142" s="17"/>
      <c r="J142" s="11"/>
      <c r="K142" s="17"/>
      <c r="L142" s="12"/>
      <c r="M142" s="12"/>
    </row>
    <row r="143" customFormat="false" ht="15" hidden="false" customHeight="true" outlineLevel="0" collapsed="false">
      <c r="A143" s="12"/>
      <c r="B143" s="12"/>
      <c r="C143" s="12"/>
      <c r="D143" s="12"/>
      <c r="E143" s="12"/>
      <c r="F143" s="12"/>
      <c r="G143" s="12"/>
      <c r="H143" s="11"/>
      <c r="I143" s="17"/>
      <c r="J143" s="11"/>
      <c r="K143" s="17"/>
      <c r="L143" s="12"/>
      <c r="M143" s="12"/>
    </row>
    <row r="144" customFormat="false" ht="15" hidden="false" customHeight="true" outlineLevel="0" collapsed="false">
      <c r="A144" s="12"/>
      <c r="B144" s="12"/>
      <c r="C144" s="12"/>
      <c r="D144" s="12"/>
      <c r="E144" s="12"/>
      <c r="F144" s="12"/>
      <c r="G144" s="12"/>
      <c r="H144" s="11"/>
      <c r="I144" s="17"/>
      <c r="J144" s="11"/>
      <c r="K144" s="17"/>
      <c r="L144" s="12"/>
      <c r="M144" s="12"/>
    </row>
    <row r="145" customFormat="false" ht="15" hidden="false" customHeight="true" outlineLevel="0" collapsed="false">
      <c r="A145" s="12"/>
      <c r="B145" s="12"/>
      <c r="C145" s="12"/>
      <c r="D145" s="12"/>
      <c r="E145" s="12"/>
      <c r="F145" s="12"/>
      <c r="G145" s="12"/>
      <c r="H145" s="11"/>
      <c r="I145" s="17"/>
      <c r="J145" s="11"/>
      <c r="K145" s="17"/>
      <c r="L145" s="12"/>
      <c r="M145" s="12"/>
    </row>
    <row r="146" customFormat="false" ht="15" hidden="false" customHeight="true" outlineLevel="0" collapsed="false">
      <c r="A146" s="12"/>
      <c r="B146" s="12"/>
      <c r="C146" s="12"/>
      <c r="D146" s="12"/>
      <c r="E146" s="12"/>
      <c r="F146" s="12"/>
      <c r="G146" s="12"/>
      <c r="H146" s="11"/>
      <c r="I146" s="17"/>
      <c r="J146" s="11"/>
      <c r="K146" s="17"/>
      <c r="L146" s="12"/>
      <c r="M146" s="12"/>
    </row>
    <row r="147" customFormat="false" ht="15" hidden="false" customHeight="true" outlineLevel="0" collapsed="false">
      <c r="A147" s="12"/>
      <c r="B147" s="12"/>
      <c r="C147" s="12"/>
      <c r="D147" s="12"/>
      <c r="E147" s="12"/>
      <c r="F147" s="12"/>
      <c r="G147" s="12"/>
      <c r="H147" s="11"/>
      <c r="I147" s="17"/>
      <c r="J147" s="11"/>
      <c r="K147" s="17"/>
      <c r="L147" s="12"/>
      <c r="M147" s="12"/>
    </row>
    <row r="148" customFormat="false" ht="15" hidden="false" customHeight="true" outlineLevel="0" collapsed="false">
      <c r="A148" s="12"/>
      <c r="B148" s="12"/>
      <c r="C148" s="12"/>
      <c r="D148" s="12"/>
      <c r="E148" s="12"/>
      <c r="F148" s="12"/>
      <c r="G148" s="12"/>
      <c r="H148" s="11"/>
      <c r="I148" s="17"/>
      <c r="J148" s="11"/>
      <c r="K148" s="17"/>
      <c r="L148" s="12"/>
      <c r="M148" s="12"/>
    </row>
    <row r="149" customFormat="false" ht="1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1"/>
      <c r="I149" s="17"/>
      <c r="J149" s="11"/>
      <c r="K149" s="17"/>
      <c r="L149" s="12"/>
      <c r="M149" s="12"/>
    </row>
    <row r="150" customFormat="false" ht="1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1"/>
      <c r="I150" s="17"/>
      <c r="J150" s="11"/>
      <c r="K150" s="17"/>
      <c r="L150" s="12"/>
      <c r="M150" s="12"/>
    </row>
    <row r="151" customFormat="false" ht="1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1"/>
      <c r="I151" s="17"/>
      <c r="J151" s="11"/>
      <c r="K151" s="17"/>
      <c r="L151" s="12"/>
      <c r="M151" s="12"/>
    </row>
    <row r="152" customFormat="false" ht="1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1"/>
      <c r="I152" s="17"/>
      <c r="J152" s="11"/>
      <c r="K152" s="17"/>
      <c r="L152" s="12"/>
      <c r="M152" s="12"/>
    </row>
    <row r="153" customFormat="false" ht="1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1"/>
      <c r="I153" s="17"/>
      <c r="J153" s="11"/>
      <c r="K153" s="17"/>
      <c r="L153" s="12"/>
      <c r="M153" s="12"/>
    </row>
    <row r="154" customFormat="false" ht="1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1"/>
      <c r="I154" s="17"/>
      <c r="J154" s="11"/>
      <c r="K154" s="17"/>
      <c r="L154" s="12"/>
      <c r="M154" s="12"/>
    </row>
    <row r="155" customFormat="false" ht="1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1"/>
      <c r="I155" s="17"/>
      <c r="J155" s="11"/>
      <c r="K155" s="17"/>
      <c r="L155" s="12"/>
      <c r="M155" s="12"/>
    </row>
    <row r="156" customFormat="false" ht="1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1"/>
      <c r="I156" s="17"/>
      <c r="J156" s="11"/>
      <c r="K156" s="17"/>
      <c r="L156" s="12"/>
      <c r="M156" s="12"/>
    </row>
    <row r="157" customFormat="false" ht="1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1"/>
      <c r="I157" s="17"/>
      <c r="J157" s="11"/>
      <c r="K157" s="17"/>
      <c r="L157" s="12"/>
      <c r="M157" s="12"/>
    </row>
    <row r="158" customFormat="false" ht="1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1"/>
      <c r="I158" s="17"/>
      <c r="J158" s="11"/>
      <c r="K158" s="17"/>
      <c r="L158" s="12"/>
      <c r="M158" s="12"/>
    </row>
    <row r="159" customFormat="false" ht="1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1"/>
      <c r="I159" s="17"/>
      <c r="J159" s="11"/>
      <c r="K159" s="17"/>
      <c r="L159" s="12"/>
      <c r="M159" s="12"/>
    </row>
    <row r="160" customFormat="false" ht="1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1"/>
      <c r="I160" s="17"/>
      <c r="J160" s="11"/>
      <c r="K160" s="17"/>
      <c r="L160" s="12"/>
      <c r="M160" s="12"/>
    </row>
    <row r="161" customFormat="false" ht="1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1"/>
      <c r="I161" s="17"/>
      <c r="J161" s="11"/>
      <c r="K161" s="17"/>
      <c r="L161" s="12"/>
      <c r="M161" s="12"/>
    </row>
    <row r="162" customFormat="false" ht="1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1"/>
      <c r="I162" s="17"/>
      <c r="J162" s="11"/>
      <c r="K162" s="17"/>
      <c r="L162" s="12"/>
      <c r="M162" s="12"/>
    </row>
    <row r="163" customFormat="false" ht="1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1"/>
      <c r="I163" s="17"/>
      <c r="J163" s="11"/>
      <c r="K163" s="17"/>
      <c r="L163" s="12"/>
      <c r="M163" s="12"/>
    </row>
    <row r="164" customFormat="false" ht="1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1"/>
      <c r="I164" s="17"/>
      <c r="J164" s="11"/>
      <c r="K164" s="17"/>
      <c r="L164" s="12"/>
      <c r="M164" s="12"/>
    </row>
    <row r="165" customFormat="false" ht="1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1"/>
      <c r="I165" s="17"/>
      <c r="J165" s="11"/>
      <c r="K165" s="17"/>
      <c r="L165" s="12"/>
      <c r="M165" s="12"/>
    </row>
    <row r="166" customFormat="false" ht="1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1"/>
      <c r="I166" s="17"/>
      <c r="J166" s="11"/>
      <c r="K166" s="17"/>
      <c r="L166" s="12"/>
      <c r="M166" s="12"/>
    </row>
    <row r="167" customFormat="false" ht="1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1"/>
      <c r="I167" s="17"/>
      <c r="J167" s="11"/>
      <c r="K167" s="17"/>
      <c r="L167" s="12"/>
      <c r="M167" s="12"/>
    </row>
    <row r="168" customFormat="false" ht="1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1"/>
      <c r="I168" s="17"/>
      <c r="J168" s="11"/>
      <c r="K168" s="17"/>
      <c r="L168" s="12"/>
      <c r="M168" s="12"/>
    </row>
    <row r="169" customFormat="false" ht="1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1"/>
      <c r="I169" s="17"/>
      <c r="J169" s="11"/>
      <c r="K169" s="17"/>
      <c r="L169" s="12"/>
      <c r="M169" s="12"/>
    </row>
    <row r="170" customFormat="false" ht="1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1"/>
      <c r="I170" s="17"/>
      <c r="J170" s="11"/>
      <c r="K170" s="17"/>
      <c r="L170" s="12"/>
      <c r="M170" s="12"/>
    </row>
    <row r="171" customFormat="false" ht="1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1"/>
      <c r="I171" s="17"/>
      <c r="J171" s="11"/>
      <c r="K171" s="17"/>
      <c r="L171" s="12"/>
      <c r="M171" s="12"/>
    </row>
    <row r="172" customFormat="false" ht="1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1"/>
      <c r="I172" s="17"/>
      <c r="J172" s="11"/>
      <c r="K172" s="17"/>
      <c r="L172" s="12"/>
      <c r="M172" s="12"/>
    </row>
    <row r="173" customFormat="false" ht="1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1"/>
      <c r="I173" s="17"/>
      <c r="J173" s="11"/>
      <c r="K173" s="17"/>
      <c r="L173" s="12"/>
      <c r="M173" s="12"/>
    </row>
    <row r="174" customFormat="false" ht="1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1"/>
      <c r="I174" s="17"/>
      <c r="J174" s="11"/>
      <c r="K174" s="17"/>
      <c r="L174" s="12"/>
      <c r="M174" s="12"/>
    </row>
    <row r="175" customFormat="false" ht="1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1"/>
      <c r="I175" s="17"/>
      <c r="J175" s="11"/>
      <c r="K175" s="17"/>
      <c r="L175" s="12"/>
      <c r="M175" s="12"/>
    </row>
    <row r="176" customFormat="false" ht="1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1"/>
      <c r="I176" s="17"/>
      <c r="J176" s="11"/>
      <c r="K176" s="17"/>
      <c r="L176" s="12"/>
      <c r="M176" s="12"/>
    </row>
    <row r="177" customFormat="false" ht="1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1"/>
      <c r="I177" s="17"/>
      <c r="J177" s="11"/>
      <c r="K177" s="17"/>
      <c r="L177" s="12"/>
      <c r="M177" s="12"/>
    </row>
    <row r="178" customFormat="false" ht="1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1"/>
      <c r="I178" s="17"/>
      <c r="J178" s="11"/>
      <c r="K178" s="17"/>
      <c r="L178" s="12"/>
      <c r="M178" s="12"/>
    </row>
    <row r="179" customFormat="false" ht="1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1"/>
      <c r="I179" s="17"/>
      <c r="J179" s="11"/>
      <c r="K179" s="17"/>
      <c r="L179" s="12"/>
      <c r="M179" s="12"/>
    </row>
    <row r="180" customFormat="false" ht="1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1"/>
      <c r="I180" s="17"/>
      <c r="J180" s="11"/>
      <c r="K180" s="17"/>
      <c r="L180" s="12"/>
      <c r="M180" s="12"/>
    </row>
    <row r="181" customFormat="false" ht="1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1"/>
      <c r="I181" s="17"/>
      <c r="J181" s="11"/>
      <c r="K181" s="17"/>
      <c r="L181" s="12"/>
      <c r="M181" s="12"/>
    </row>
    <row r="182" customFormat="false" ht="1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1"/>
      <c r="I182" s="17"/>
      <c r="J182" s="11"/>
      <c r="K182" s="17"/>
      <c r="L182" s="12"/>
      <c r="M182" s="12"/>
    </row>
    <row r="183" customFormat="false" ht="1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1"/>
      <c r="I183" s="17"/>
      <c r="J183" s="11"/>
      <c r="K183" s="17"/>
      <c r="L183" s="12"/>
      <c r="M183" s="12"/>
    </row>
    <row r="184" customFormat="false" ht="1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1"/>
      <c r="I184" s="17"/>
      <c r="J184" s="11"/>
      <c r="K184" s="17"/>
      <c r="L184" s="12"/>
      <c r="M184" s="12"/>
    </row>
    <row r="185" customFormat="false" ht="1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1"/>
      <c r="I185" s="17"/>
      <c r="J185" s="11"/>
      <c r="K185" s="17"/>
      <c r="L185" s="12"/>
      <c r="M185" s="12"/>
    </row>
    <row r="186" customFormat="false" ht="1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1"/>
      <c r="I186" s="17"/>
      <c r="J186" s="11"/>
      <c r="K186" s="17"/>
      <c r="L186" s="12"/>
      <c r="M186" s="12"/>
    </row>
    <row r="187" customFormat="false" ht="1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1"/>
      <c r="I187" s="17"/>
      <c r="J187" s="11"/>
      <c r="K187" s="17"/>
      <c r="L187" s="12"/>
      <c r="M187" s="12"/>
    </row>
    <row r="188" customFormat="false" ht="1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1"/>
      <c r="I188" s="17"/>
      <c r="J188" s="11"/>
      <c r="K188" s="17"/>
      <c r="L188" s="12"/>
      <c r="M188" s="12"/>
    </row>
    <row r="189" customFormat="false" ht="1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1"/>
      <c r="I189" s="17"/>
      <c r="J189" s="11"/>
      <c r="K189" s="17"/>
      <c r="L189" s="12"/>
      <c r="M189" s="12"/>
    </row>
    <row r="190" customFormat="false" ht="1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1"/>
      <c r="I190" s="17"/>
      <c r="J190" s="11"/>
      <c r="K190" s="17"/>
      <c r="L190" s="12"/>
      <c r="M190" s="12"/>
    </row>
    <row r="191" customFormat="false" ht="1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1"/>
      <c r="I191" s="17"/>
      <c r="J191" s="11"/>
      <c r="K191" s="17"/>
      <c r="L191" s="12"/>
      <c r="M191" s="12"/>
    </row>
    <row r="192" customFormat="false" ht="1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1"/>
      <c r="I192" s="17"/>
      <c r="J192" s="11"/>
      <c r="K192" s="17"/>
      <c r="L192" s="12"/>
      <c r="M192" s="12"/>
    </row>
    <row r="193" customFormat="false" ht="1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1"/>
      <c r="I193" s="17"/>
      <c r="J193" s="11"/>
      <c r="K193" s="17"/>
      <c r="L193" s="12"/>
      <c r="M193" s="12"/>
    </row>
    <row r="194" customFormat="false" ht="1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1"/>
      <c r="I194" s="17"/>
      <c r="J194" s="11"/>
      <c r="K194" s="17"/>
      <c r="L194" s="12"/>
      <c r="M194" s="12"/>
    </row>
    <row r="195" customFormat="false" ht="1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1"/>
      <c r="I195" s="17"/>
      <c r="J195" s="11"/>
      <c r="K195" s="17"/>
      <c r="L195" s="12"/>
      <c r="M195" s="12"/>
    </row>
    <row r="196" customFormat="false" ht="1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1"/>
      <c r="I196" s="17"/>
      <c r="J196" s="11"/>
      <c r="K196" s="17"/>
      <c r="L196" s="12"/>
      <c r="M196" s="12"/>
    </row>
    <row r="197" customFormat="false" ht="1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1"/>
      <c r="I197" s="17"/>
      <c r="J197" s="11"/>
      <c r="K197" s="17"/>
      <c r="L197" s="12"/>
      <c r="M197" s="12"/>
    </row>
    <row r="198" customFormat="false" ht="1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1"/>
      <c r="I198" s="17"/>
      <c r="J198" s="11"/>
      <c r="K198" s="17"/>
      <c r="L198" s="12"/>
      <c r="M198" s="12"/>
    </row>
    <row r="199" customFormat="false" ht="1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1"/>
      <c r="I199" s="17"/>
      <c r="J199" s="11"/>
      <c r="K199" s="17"/>
      <c r="L199" s="12"/>
      <c r="M199" s="12"/>
    </row>
    <row r="200" customFormat="false" ht="1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1"/>
      <c r="I200" s="17"/>
      <c r="J200" s="11"/>
      <c r="K200" s="17"/>
      <c r="L200" s="12"/>
      <c r="M200" s="12"/>
    </row>
    <row r="201" customFormat="false" ht="15" hidden="false" customHeight="true" outlineLevel="0" collapsed="false">
      <c r="A201" s="12"/>
      <c r="B201" s="12"/>
      <c r="C201" s="12"/>
      <c r="D201" s="12"/>
      <c r="E201" s="12"/>
      <c r="F201" s="12"/>
      <c r="G201" s="12"/>
      <c r="H201" s="11"/>
      <c r="I201" s="17"/>
      <c r="J201" s="11"/>
      <c r="K201" s="17"/>
      <c r="L201" s="12"/>
      <c r="M201" s="12"/>
    </row>
    <row r="202" customFormat="false" ht="15" hidden="false" customHeight="true" outlineLevel="0" collapsed="false">
      <c r="A202" s="12"/>
      <c r="B202" s="12"/>
      <c r="C202" s="12"/>
      <c r="D202" s="12"/>
      <c r="E202" s="12"/>
      <c r="F202" s="12"/>
      <c r="G202" s="12"/>
      <c r="H202" s="11"/>
      <c r="I202" s="17"/>
      <c r="J202" s="11"/>
      <c r="K202" s="17"/>
      <c r="L202" s="12"/>
      <c r="M202" s="12"/>
    </row>
    <row r="203" customFormat="false" ht="15" hidden="false" customHeight="true" outlineLevel="0" collapsed="false">
      <c r="A203" s="12"/>
      <c r="B203" s="12"/>
      <c r="C203" s="12"/>
      <c r="D203" s="12"/>
      <c r="E203" s="12"/>
      <c r="F203" s="12"/>
      <c r="G203" s="12"/>
      <c r="H203" s="11"/>
      <c r="I203" s="17"/>
      <c r="J203" s="11"/>
      <c r="K203" s="17"/>
      <c r="L203" s="12"/>
      <c r="M203" s="12"/>
    </row>
    <row r="204" customFormat="false" ht="15" hidden="false" customHeight="true" outlineLevel="0" collapsed="false">
      <c r="A204" s="12"/>
      <c r="B204" s="12"/>
      <c r="C204" s="12"/>
      <c r="D204" s="12"/>
      <c r="E204" s="12"/>
      <c r="F204" s="12"/>
      <c r="G204" s="12"/>
      <c r="H204" s="11"/>
      <c r="I204" s="17"/>
      <c r="J204" s="11"/>
      <c r="K204" s="17"/>
      <c r="L204" s="12"/>
      <c r="M204" s="12"/>
    </row>
    <row r="205" customFormat="false" ht="15" hidden="false" customHeight="true" outlineLevel="0" collapsed="false">
      <c r="A205" s="12"/>
      <c r="B205" s="12"/>
      <c r="C205" s="12"/>
      <c r="D205" s="12"/>
      <c r="E205" s="12"/>
      <c r="F205" s="12"/>
      <c r="G205" s="12"/>
      <c r="H205" s="11"/>
      <c r="I205" s="17"/>
      <c r="J205" s="11"/>
      <c r="K205" s="17"/>
      <c r="L205" s="12"/>
      <c r="M205" s="12"/>
    </row>
    <row r="206" customFormat="false" ht="15" hidden="false" customHeight="true" outlineLevel="0" collapsed="false">
      <c r="A206" s="12"/>
      <c r="B206" s="12"/>
      <c r="C206" s="12"/>
      <c r="D206" s="12"/>
      <c r="E206" s="12"/>
      <c r="F206" s="12"/>
      <c r="G206" s="12"/>
      <c r="H206" s="11"/>
      <c r="I206" s="17"/>
      <c r="J206" s="11"/>
      <c r="K206" s="17"/>
      <c r="L206" s="12"/>
      <c r="M206" s="12"/>
    </row>
    <row r="207" customFormat="false" ht="15" hidden="false" customHeight="true" outlineLevel="0" collapsed="false">
      <c r="A207" s="12"/>
      <c r="B207" s="12"/>
      <c r="C207" s="12"/>
      <c r="D207" s="12"/>
      <c r="E207" s="12"/>
      <c r="F207" s="12"/>
      <c r="G207" s="12"/>
      <c r="H207" s="11"/>
      <c r="I207" s="17"/>
      <c r="J207" s="11"/>
      <c r="K207" s="17"/>
      <c r="L207" s="12"/>
      <c r="M207" s="12"/>
    </row>
    <row r="208" customFormat="false" ht="15" hidden="false" customHeight="true" outlineLevel="0" collapsed="false">
      <c r="A208" s="12"/>
      <c r="B208" s="12"/>
      <c r="C208" s="12"/>
      <c r="D208" s="12"/>
      <c r="E208" s="12"/>
      <c r="F208" s="12"/>
      <c r="G208" s="12"/>
      <c r="H208" s="11"/>
      <c r="I208" s="17"/>
      <c r="J208" s="11"/>
      <c r="K208" s="17"/>
      <c r="L208" s="12"/>
      <c r="M208" s="12"/>
    </row>
    <row r="209" customFormat="false" ht="15" hidden="false" customHeight="true" outlineLevel="0" collapsed="false">
      <c r="A209" s="12"/>
      <c r="B209" s="12"/>
      <c r="C209" s="12"/>
      <c r="D209" s="12"/>
      <c r="E209" s="12"/>
      <c r="F209" s="12"/>
      <c r="G209" s="12"/>
      <c r="H209" s="11"/>
      <c r="I209" s="17"/>
      <c r="J209" s="11"/>
      <c r="K209" s="17"/>
      <c r="L209" s="12"/>
      <c r="M209" s="12"/>
    </row>
    <row r="210" customFormat="false" ht="15" hidden="false" customHeight="true" outlineLevel="0" collapsed="false">
      <c r="A210" s="12"/>
      <c r="B210" s="12"/>
      <c r="C210" s="12"/>
      <c r="D210" s="12"/>
      <c r="E210" s="12"/>
      <c r="F210" s="12"/>
      <c r="G210" s="12"/>
      <c r="H210" s="11"/>
      <c r="I210" s="17"/>
      <c r="J210" s="11"/>
      <c r="K210" s="17"/>
      <c r="L210" s="12"/>
      <c r="M210" s="12"/>
    </row>
    <row r="211" customFormat="false" ht="15" hidden="false" customHeight="true" outlineLevel="0" collapsed="false">
      <c r="A211" s="12"/>
      <c r="B211" s="12"/>
      <c r="C211" s="12"/>
      <c r="D211" s="12"/>
      <c r="E211" s="12"/>
      <c r="F211" s="12"/>
      <c r="G211" s="12"/>
      <c r="H211" s="11"/>
      <c r="I211" s="17"/>
      <c r="J211" s="11"/>
      <c r="K211" s="17"/>
      <c r="L211" s="12"/>
      <c r="M211" s="12"/>
    </row>
    <row r="212" customFormat="false" ht="15" hidden="false" customHeight="true" outlineLevel="0" collapsed="false">
      <c r="A212" s="12"/>
      <c r="B212" s="12"/>
      <c r="C212" s="12"/>
      <c r="D212" s="12"/>
      <c r="E212" s="12"/>
      <c r="F212" s="12"/>
      <c r="G212" s="12"/>
      <c r="H212" s="11"/>
      <c r="I212" s="17"/>
      <c r="J212" s="11"/>
      <c r="K212" s="17"/>
      <c r="L212" s="12"/>
      <c r="M212" s="12"/>
    </row>
    <row r="213" customFormat="false" ht="15" hidden="false" customHeight="true" outlineLevel="0" collapsed="false">
      <c r="A213" s="12"/>
      <c r="B213" s="12"/>
      <c r="C213" s="12"/>
      <c r="D213" s="12"/>
      <c r="E213" s="12"/>
      <c r="F213" s="12"/>
      <c r="G213" s="12"/>
      <c r="H213" s="11"/>
      <c r="I213" s="17"/>
      <c r="J213" s="11"/>
      <c r="K213" s="17"/>
      <c r="L213" s="12"/>
      <c r="M213" s="12"/>
    </row>
    <row r="214" customFormat="false" ht="15" hidden="false" customHeight="true" outlineLevel="0" collapsed="false">
      <c r="A214" s="12"/>
      <c r="B214" s="12"/>
      <c r="C214" s="12"/>
      <c r="D214" s="12"/>
      <c r="E214" s="12"/>
      <c r="F214" s="12"/>
      <c r="G214" s="12"/>
      <c r="H214" s="11"/>
      <c r="I214" s="17"/>
      <c r="J214" s="11"/>
      <c r="K214" s="17"/>
      <c r="L214" s="12"/>
      <c r="M214" s="12"/>
    </row>
    <row r="215" customFormat="false" ht="15" hidden="false" customHeight="true" outlineLevel="0" collapsed="false">
      <c r="A215" s="12"/>
      <c r="B215" s="12"/>
      <c r="C215" s="12"/>
      <c r="D215" s="12"/>
      <c r="E215" s="12"/>
      <c r="F215" s="12"/>
      <c r="G215" s="12"/>
      <c r="H215" s="11"/>
      <c r="I215" s="17"/>
      <c r="J215" s="11"/>
      <c r="K215" s="17"/>
      <c r="L215" s="12"/>
      <c r="M215" s="12"/>
    </row>
    <row r="216" customFormat="false" ht="15" hidden="false" customHeight="true" outlineLevel="0" collapsed="false">
      <c r="A216" s="12"/>
      <c r="B216" s="12"/>
      <c r="C216" s="12"/>
      <c r="D216" s="12"/>
      <c r="E216" s="12"/>
      <c r="F216" s="12"/>
      <c r="G216" s="12"/>
      <c r="H216" s="11"/>
      <c r="I216" s="17"/>
      <c r="J216" s="11"/>
      <c r="K216" s="17"/>
      <c r="L216" s="12"/>
      <c r="M216" s="12"/>
    </row>
    <row r="217" customFormat="false" ht="15" hidden="false" customHeight="true" outlineLevel="0" collapsed="false">
      <c r="A217" s="12"/>
      <c r="B217" s="12"/>
      <c r="C217" s="12"/>
      <c r="D217" s="12"/>
      <c r="E217" s="12"/>
      <c r="F217" s="12"/>
      <c r="G217" s="12"/>
      <c r="H217" s="11"/>
      <c r="I217" s="17"/>
      <c r="J217" s="11"/>
      <c r="K217" s="17"/>
      <c r="L217" s="12"/>
      <c r="M217" s="12"/>
    </row>
    <row r="218" customFormat="false" ht="15" hidden="false" customHeight="true" outlineLevel="0" collapsed="false">
      <c r="A218" s="12"/>
      <c r="B218" s="12"/>
      <c r="C218" s="12"/>
      <c r="D218" s="12"/>
      <c r="E218" s="12"/>
      <c r="F218" s="12"/>
      <c r="G218" s="12"/>
      <c r="H218" s="11"/>
      <c r="I218" s="17"/>
      <c r="J218" s="11"/>
      <c r="K218" s="17"/>
      <c r="L218" s="12"/>
      <c r="M218" s="12"/>
    </row>
    <row r="219" customFormat="false" ht="15" hidden="false" customHeight="true" outlineLevel="0" collapsed="false">
      <c r="A219" s="12"/>
      <c r="B219" s="12"/>
      <c r="C219" s="12"/>
      <c r="D219" s="12"/>
      <c r="E219" s="12"/>
      <c r="F219" s="12"/>
      <c r="G219" s="12"/>
      <c r="H219" s="11"/>
      <c r="I219" s="17"/>
      <c r="J219" s="11"/>
      <c r="K219" s="17"/>
      <c r="L219" s="12"/>
      <c r="M219" s="12"/>
    </row>
    <row r="220" customFormat="false" ht="15" hidden="false" customHeight="true" outlineLevel="0" collapsed="false">
      <c r="A220" s="12"/>
      <c r="B220" s="12"/>
      <c r="C220" s="12"/>
      <c r="D220" s="12"/>
      <c r="E220" s="12"/>
      <c r="F220" s="12"/>
      <c r="G220" s="12"/>
      <c r="H220" s="11"/>
      <c r="I220" s="17"/>
      <c r="J220" s="11"/>
      <c r="K220" s="17"/>
      <c r="L220" s="12"/>
      <c r="M220" s="12"/>
    </row>
    <row r="221" customFormat="false" ht="15" hidden="false" customHeight="true" outlineLevel="0" collapsed="false">
      <c r="A221" s="12"/>
      <c r="B221" s="12"/>
      <c r="C221" s="12"/>
      <c r="D221" s="12"/>
      <c r="E221" s="12"/>
      <c r="F221" s="12"/>
      <c r="G221" s="12"/>
      <c r="H221" s="11"/>
      <c r="I221" s="17"/>
      <c r="J221" s="11"/>
      <c r="K221" s="17"/>
      <c r="L221" s="12"/>
      <c r="M221" s="12"/>
    </row>
    <row r="222" customFormat="false" ht="15" hidden="false" customHeight="true" outlineLevel="0" collapsed="false">
      <c r="A222" s="12"/>
      <c r="B222" s="12"/>
      <c r="C222" s="12"/>
      <c r="D222" s="12"/>
      <c r="E222" s="12"/>
      <c r="F222" s="12"/>
      <c r="G222" s="12"/>
      <c r="H222" s="11"/>
      <c r="I222" s="17"/>
      <c r="J222" s="11"/>
      <c r="K222" s="17"/>
      <c r="L222" s="12"/>
      <c r="M222" s="12"/>
    </row>
    <row r="223" customFormat="false" ht="15" hidden="false" customHeight="true" outlineLevel="0" collapsed="false">
      <c r="A223" s="12"/>
      <c r="B223" s="12"/>
      <c r="C223" s="12"/>
      <c r="D223" s="12"/>
      <c r="E223" s="12"/>
      <c r="F223" s="12"/>
      <c r="G223" s="12"/>
      <c r="H223" s="11"/>
      <c r="I223" s="17"/>
      <c r="J223" s="11"/>
      <c r="K223" s="17"/>
      <c r="L223" s="12"/>
      <c r="M223" s="12"/>
    </row>
    <row r="224" customFormat="false" ht="15" hidden="false" customHeight="true" outlineLevel="0" collapsed="false">
      <c r="A224" s="12"/>
      <c r="B224" s="12"/>
      <c r="C224" s="12"/>
      <c r="D224" s="12"/>
      <c r="E224" s="12"/>
      <c r="F224" s="12"/>
      <c r="G224" s="12"/>
      <c r="H224" s="11"/>
      <c r="I224" s="17"/>
      <c r="J224" s="11"/>
      <c r="K224" s="17"/>
      <c r="L224" s="12"/>
      <c r="M224" s="12"/>
    </row>
    <row r="225" customFormat="false" ht="15" hidden="false" customHeight="true" outlineLevel="0" collapsed="false">
      <c r="A225" s="12"/>
      <c r="B225" s="12"/>
      <c r="C225" s="12"/>
      <c r="D225" s="12"/>
      <c r="E225" s="12"/>
      <c r="F225" s="12"/>
      <c r="G225" s="12"/>
      <c r="H225" s="11"/>
      <c r="I225" s="17"/>
      <c r="J225" s="11"/>
      <c r="K225" s="17"/>
      <c r="L225" s="12"/>
      <c r="M225" s="12"/>
    </row>
    <row r="226" customFormat="false" ht="15" hidden="false" customHeight="true" outlineLevel="0" collapsed="false">
      <c r="A226" s="12"/>
      <c r="B226" s="12"/>
      <c r="C226" s="12"/>
      <c r="D226" s="12"/>
      <c r="E226" s="12"/>
      <c r="F226" s="12"/>
      <c r="G226" s="12"/>
      <c r="H226" s="11"/>
      <c r="I226" s="17"/>
      <c r="J226" s="11"/>
      <c r="K226" s="17"/>
      <c r="L226" s="12"/>
      <c r="M226" s="12"/>
    </row>
    <row r="227" customFormat="false" ht="15" hidden="false" customHeight="true" outlineLevel="0" collapsed="false">
      <c r="A227" s="12"/>
      <c r="B227" s="12"/>
      <c r="C227" s="12"/>
      <c r="D227" s="12"/>
      <c r="E227" s="12"/>
      <c r="F227" s="12"/>
      <c r="G227" s="12"/>
      <c r="H227" s="11"/>
      <c r="I227" s="17"/>
      <c r="J227" s="11"/>
      <c r="K227" s="17"/>
      <c r="L227" s="12"/>
      <c r="M227" s="12"/>
    </row>
    <row r="228" customFormat="false" ht="15" hidden="false" customHeight="true" outlineLevel="0" collapsed="false">
      <c r="A228" s="12"/>
      <c r="B228" s="12"/>
      <c r="C228" s="12"/>
      <c r="D228" s="12"/>
      <c r="E228" s="12"/>
      <c r="F228" s="12"/>
      <c r="G228" s="12"/>
      <c r="H228" s="11"/>
      <c r="I228" s="17"/>
      <c r="J228" s="11"/>
      <c r="K228" s="17"/>
      <c r="L228" s="12"/>
      <c r="M228" s="12"/>
    </row>
    <row r="229" customFormat="false" ht="15" hidden="false" customHeight="true" outlineLevel="0" collapsed="false">
      <c r="A229" s="12"/>
      <c r="B229" s="12"/>
      <c r="C229" s="12"/>
      <c r="D229" s="12"/>
      <c r="E229" s="12"/>
      <c r="F229" s="12"/>
      <c r="G229" s="12"/>
      <c r="H229" s="11"/>
      <c r="I229" s="17"/>
      <c r="J229" s="11"/>
      <c r="K229" s="17"/>
      <c r="L229" s="12"/>
      <c r="M229" s="12"/>
    </row>
    <row r="230" customFormat="false" ht="15" hidden="false" customHeight="true" outlineLevel="0" collapsed="false">
      <c r="A230" s="12"/>
      <c r="B230" s="12"/>
      <c r="C230" s="12"/>
      <c r="D230" s="12"/>
      <c r="E230" s="12"/>
      <c r="F230" s="12"/>
      <c r="G230" s="12"/>
      <c r="H230" s="11"/>
      <c r="I230" s="17"/>
      <c r="J230" s="11"/>
      <c r="K230" s="17"/>
      <c r="L230" s="12"/>
      <c r="M230" s="12"/>
    </row>
    <row r="231" customFormat="false" ht="15" hidden="false" customHeight="true" outlineLevel="0" collapsed="false">
      <c r="A231" s="12"/>
      <c r="B231" s="12"/>
      <c r="C231" s="12"/>
      <c r="D231" s="12"/>
      <c r="E231" s="12"/>
      <c r="F231" s="12"/>
      <c r="G231" s="12"/>
      <c r="H231" s="11"/>
      <c r="I231" s="17"/>
      <c r="J231" s="11"/>
      <c r="K231" s="17"/>
      <c r="L231" s="12"/>
      <c r="M231" s="12"/>
    </row>
    <row r="232" customFormat="false" ht="15" hidden="false" customHeight="true" outlineLevel="0" collapsed="false">
      <c r="A232" s="12"/>
      <c r="B232" s="12"/>
      <c r="C232" s="12"/>
      <c r="D232" s="12"/>
      <c r="E232" s="12"/>
      <c r="F232" s="12"/>
      <c r="G232" s="12"/>
      <c r="H232" s="11"/>
      <c r="I232" s="17"/>
      <c r="J232" s="11"/>
      <c r="K232" s="17"/>
      <c r="L232" s="12"/>
      <c r="M232" s="12"/>
    </row>
    <row r="233" customFormat="false" ht="15" hidden="false" customHeight="true" outlineLevel="0" collapsed="false">
      <c r="A233" s="12"/>
      <c r="B233" s="12"/>
      <c r="C233" s="12"/>
      <c r="D233" s="12"/>
      <c r="E233" s="12"/>
      <c r="F233" s="12"/>
      <c r="G233" s="12"/>
      <c r="H233" s="11"/>
      <c r="I233" s="17"/>
      <c r="J233" s="11"/>
      <c r="K233" s="17"/>
      <c r="L233" s="12"/>
      <c r="M233" s="12"/>
    </row>
    <row r="234" customFormat="false" ht="15" hidden="false" customHeight="true" outlineLevel="0" collapsed="false">
      <c r="A234" s="12"/>
      <c r="B234" s="12"/>
      <c r="C234" s="12"/>
      <c r="D234" s="12"/>
      <c r="E234" s="12"/>
      <c r="F234" s="12"/>
      <c r="G234" s="12"/>
      <c r="H234" s="11"/>
      <c r="I234" s="17"/>
      <c r="J234" s="11"/>
      <c r="K234" s="17"/>
      <c r="L234" s="12"/>
      <c r="M234" s="12"/>
    </row>
    <row r="235" customFormat="false" ht="15" hidden="false" customHeight="true" outlineLevel="0" collapsed="false">
      <c r="A235" s="12"/>
      <c r="B235" s="12"/>
      <c r="C235" s="12"/>
      <c r="D235" s="12"/>
      <c r="E235" s="12"/>
      <c r="F235" s="12"/>
      <c r="G235" s="12"/>
      <c r="H235" s="11"/>
      <c r="I235" s="17"/>
      <c r="J235" s="11"/>
      <c r="K235" s="17"/>
      <c r="L235" s="12"/>
      <c r="M235" s="12"/>
    </row>
    <row r="236" customFormat="false" ht="15" hidden="false" customHeight="true" outlineLevel="0" collapsed="false">
      <c r="A236" s="12"/>
      <c r="B236" s="12"/>
      <c r="C236" s="12"/>
      <c r="D236" s="12"/>
      <c r="E236" s="12"/>
      <c r="F236" s="12"/>
      <c r="G236" s="12"/>
      <c r="H236" s="11"/>
      <c r="I236" s="17"/>
      <c r="J236" s="11"/>
      <c r="K236" s="17"/>
      <c r="L236" s="12"/>
      <c r="M236" s="12"/>
    </row>
    <row r="237" customFormat="false" ht="15" hidden="false" customHeight="true" outlineLevel="0" collapsed="false">
      <c r="A237" s="12"/>
      <c r="B237" s="12"/>
      <c r="C237" s="12"/>
      <c r="D237" s="12"/>
      <c r="E237" s="12"/>
      <c r="F237" s="12"/>
      <c r="G237" s="12"/>
      <c r="H237" s="11"/>
      <c r="I237" s="17"/>
      <c r="J237" s="11"/>
      <c r="K237" s="17"/>
      <c r="L237" s="12"/>
      <c r="M237" s="12"/>
    </row>
    <row r="238" customFormat="false" ht="15" hidden="false" customHeight="true" outlineLevel="0" collapsed="false">
      <c r="A238" s="12"/>
      <c r="B238" s="12"/>
      <c r="C238" s="12"/>
      <c r="D238" s="12"/>
      <c r="E238" s="12"/>
      <c r="F238" s="12"/>
      <c r="G238" s="12"/>
      <c r="H238" s="11"/>
      <c r="I238" s="17"/>
      <c r="J238" s="11"/>
      <c r="K238" s="17"/>
      <c r="L238" s="12"/>
      <c r="M238" s="12"/>
    </row>
    <row r="239" customFormat="false" ht="15" hidden="false" customHeight="true" outlineLevel="0" collapsed="false">
      <c r="A239" s="12"/>
      <c r="B239" s="12"/>
      <c r="C239" s="12"/>
      <c r="D239" s="12"/>
      <c r="E239" s="12"/>
      <c r="F239" s="12"/>
      <c r="G239" s="12"/>
      <c r="H239" s="11"/>
      <c r="I239" s="17"/>
      <c r="J239" s="11"/>
      <c r="K239" s="17"/>
      <c r="L239" s="12"/>
      <c r="M239" s="12"/>
    </row>
    <row r="240" customFormat="false" ht="15" hidden="false" customHeight="true" outlineLevel="0" collapsed="false">
      <c r="A240" s="12"/>
      <c r="B240" s="12"/>
      <c r="C240" s="12"/>
      <c r="D240" s="12"/>
      <c r="E240" s="12"/>
      <c r="F240" s="12"/>
      <c r="G240" s="12"/>
      <c r="H240" s="11"/>
      <c r="I240" s="17"/>
      <c r="J240" s="11"/>
      <c r="K240" s="17"/>
      <c r="L240" s="12"/>
      <c r="M240" s="12"/>
    </row>
    <row r="241" customFormat="false" ht="15" hidden="false" customHeight="true" outlineLevel="0" collapsed="false">
      <c r="A241" s="12"/>
      <c r="B241" s="12"/>
      <c r="C241" s="12"/>
      <c r="D241" s="12"/>
      <c r="E241" s="12"/>
      <c r="F241" s="12"/>
      <c r="G241" s="12"/>
      <c r="H241" s="11"/>
      <c r="I241" s="17"/>
      <c r="J241" s="11"/>
      <c r="K241" s="17"/>
      <c r="L241" s="12"/>
      <c r="M241" s="12"/>
    </row>
    <row r="242" customFormat="false" ht="15" hidden="false" customHeight="true" outlineLevel="0" collapsed="false">
      <c r="A242" s="12"/>
      <c r="B242" s="12"/>
      <c r="C242" s="12"/>
      <c r="D242" s="12"/>
      <c r="E242" s="12"/>
      <c r="F242" s="12"/>
      <c r="G242" s="12"/>
      <c r="H242" s="11"/>
      <c r="I242" s="17"/>
      <c r="J242" s="11"/>
      <c r="K242" s="17"/>
      <c r="L242" s="12"/>
      <c r="M242" s="12"/>
    </row>
    <row r="243" customFormat="false" ht="15" hidden="false" customHeight="true" outlineLevel="0" collapsed="false">
      <c r="A243" s="12"/>
      <c r="B243" s="12"/>
      <c r="C243" s="12"/>
      <c r="D243" s="12"/>
      <c r="E243" s="12"/>
      <c r="F243" s="12"/>
      <c r="G243" s="12"/>
      <c r="H243" s="11"/>
      <c r="I243" s="17"/>
      <c r="J243" s="11"/>
      <c r="K243" s="17"/>
      <c r="L243" s="12"/>
      <c r="M243" s="12"/>
    </row>
    <row r="244" customFormat="false" ht="15" hidden="false" customHeight="true" outlineLevel="0" collapsed="false">
      <c r="A244" s="12"/>
      <c r="B244" s="12"/>
      <c r="C244" s="12"/>
      <c r="D244" s="12"/>
      <c r="E244" s="12"/>
      <c r="F244" s="12"/>
      <c r="G244" s="12"/>
      <c r="H244" s="11"/>
      <c r="I244" s="17"/>
      <c r="J244" s="11"/>
      <c r="K244" s="17"/>
      <c r="L244" s="12"/>
      <c r="M244" s="12"/>
    </row>
    <row r="245" customFormat="false" ht="15" hidden="false" customHeight="true" outlineLevel="0" collapsed="false">
      <c r="A245" s="12"/>
      <c r="B245" s="12"/>
      <c r="C245" s="12"/>
      <c r="D245" s="12"/>
      <c r="E245" s="12"/>
      <c r="F245" s="12"/>
      <c r="G245" s="12"/>
      <c r="H245" s="11"/>
      <c r="I245" s="17"/>
      <c r="J245" s="11"/>
      <c r="K245" s="17"/>
      <c r="L245" s="12"/>
      <c r="M245" s="12"/>
    </row>
    <row r="246" customFormat="false" ht="15" hidden="false" customHeight="true" outlineLevel="0" collapsed="false">
      <c r="A246" s="12"/>
      <c r="B246" s="12"/>
      <c r="C246" s="12"/>
      <c r="D246" s="12"/>
      <c r="E246" s="12"/>
      <c r="F246" s="12"/>
      <c r="G246" s="12"/>
      <c r="H246" s="11"/>
      <c r="I246" s="17"/>
      <c r="J246" s="11"/>
      <c r="K246" s="17"/>
      <c r="L246" s="12"/>
      <c r="M246" s="12"/>
    </row>
    <row r="247" customFormat="false" ht="15" hidden="false" customHeight="true" outlineLevel="0" collapsed="false">
      <c r="A247" s="12"/>
      <c r="B247" s="12"/>
      <c r="C247" s="12"/>
      <c r="D247" s="12"/>
      <c r="E247" s="12"/>
      <c r="F247" s="12"/>
      <c r="G247" s="12"/>
      <c r="H247" s="11"/>
      <c r="I247" s="17"/>
      <c r="J247" s="11"/>
      <c r="K247" s="17"/>
      <c r="L247" s="12"/>
      <c r="M247" s="12"/>
    </row>
    <row r="248" customFormat="false" ht="15" hidden="false" customHeight="true" outlineLevel="0" collapsed="false">
      <c r="A248" s="12"/>
      <c r="B248" s="12"/>
      <c r="C248" s="12"/>
      <c r="D248" s="12"/>
      <c r="E248" s="12"/>
      <c r="F248" s="12"/>
      <c r="G248" s="12"/>
      <c r="H248" s="11"/>
      <c r="I248" s="17"/>
      <c r="J248" s="11"/>
      <c r="K248" s="17"/>
      <c r="L248" s="12"/>
      <c r="M248" s="12"/>
    </row>
    <row r="249" customFormat="false" ht="15" hidden="false" customHeight="true" outlineLevel="0" collapsed="false">
      <c r="A249" s="12"/>
      <c r="B249" s="12"/>
      <c r="C249" s="12"/>
      <c r="D249" s="12"/>
      <c r="E249" s="12"/>
      <c r="F249" s="12"/>
      <c r="G249" s="12"/>
      <c r="H249" s="11"/>
      <c r="I249" s="17"/>
      <c r="J249" s="11"/>
      <c r="K249" s="17"/>
      <c r="L249" s="12"/>
      <c r="M249" s="12"/>
    </row>
    <row r="250" customFormat="false" ht="15" hidden="false" customHeight="true" outlineLevel="0" collapsed="false">
      <c r="A250" s="12"/>
      <c r="B250" s="12"/>
      <c r="C250" s="12"/>
      <c r="D250" s="12"/>
      <c r="E250" s="12"/>
      <c r="F250" s="12"/>
      <c r="G250" s="12"/>
      <c r="H250" s="11"/>
      <c r="I250" s="17"/>
      <c r="J250" s="11"/>
      <c r="K250" s="17"/>
      <c r="L250" s="12"/>
      <c r="M250" s="12"/>
    </row>
    <row r="251" customFormat="false" ht="15" hidden="false" customHeight="true" outlineLevel="0" collapsed="false">
      <c r="A251" s="12"/>
      <c r="B251" s="12"/>
      <c r="C251" s="12"/>
      <c r="D251" s="12"/>
      <c r="E251" s="12"/>
      <c r="F251" s="12"/>
      <c r="G251" s="12"/>
      <c r="H251" s="11"/>
      <c r="I251" s="17"/>
      <c r="J251" s="11"/>
      <c r="K251" s="17"/>
      <c r="L251" s="12"/>
      <c r="M251" s="12"/>
    </row>
    <row r="252" customFormat="false" ht="15" hidden="false" customHeight="true" outlineLevel="0" collapsed="false">
      <c r="A252" s="12"/>
      <c r="B252" s="12"/>
      <c r="C252" s="12"/>
      <c r="D252" s="12"/>
      <c r="E252" s="12"/>
      <c r="F252" s="12"/>
      <c r="G252" s="12"/>
      <c r="H252" s="11"/>
      <c r="I252" s="17"/>
      <c r="J252" s="11"/>
      <c r="K252" s="17"/>
      <c r="L252" s="12"/>
      <c r="M252" s="12"/>
    </row>
    <row r="253" customFormat="false" ht="1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1"/>
      <c r="I253" s="17"/>
      <c r="J253" s="11"/>
      <c r="K253" s="17"/>
      <c r="L253" s="12"/>
      <c r="M253" s="12"/>
    </row>
    <row r="254" customFormat="false" ht="15" hidden="false" customHeight="true" outlineLevel="0" collapsed="false">
      <c r="A254" s="12"/>
      <c r="B254" s="12"/>
      <c r="C254" s="12"/>
      <c r="D254" s="12"/>
      <c r="E254" s="12"/>
      <c r="F254" s="12"/>
      <c r="G254" s="12"/>
      <c r="H254" s="11"/>
      <c r="I254" s="17"/>
      <c r="J254" s="11"/>
      <c r="K254" s="17"/>
      <c r="L254" s="12"/>
      <c r="M254" s="12"/>
    </row>
    <row r="255" customFormat="false" ht="15" hidden="false" customHeight="true" outlineLevel="0" collapsed="false">
      <c r="A255" s="12"/>
      <c r="B255" s="12"/>
      <c r="C255" s="12"/>
      <c r="D255" s="12"/>
      <c r="E255" s="12"/>
      <c r="F255" s="12"/>
      <c r="G255" s="12"/>
      <c r="H255" s="11"/>
      <c r="I255" s="17"/>
      <c r="J255" s="11"/>
      <c r="K255" s="17"/>
      <c r="L255" s="12"/>
      <c r="M255" s="12"/>
    </row>
    <row r="256" customFormat="false" ht="15" hidden="false" customHeight="true" outlineLevel="0" collapsed="false">
      <c r="A256" s="12"/>
      <c r="B256" s="12"/>
      <c r="C256" s="12"/>
      <c r="D256" s="12"/>
      <c r="E256" s="12"/>
      <c r="F256" s="12"/>
      <c r="G256" s="12"/>
      <c r="H256" s="11"/>
      <c r="I256" s="17"/>
      <c r="J256" s="11"/>
      <c r="K256" s="17"/>
      <c r="L256" s="12"/>
      <c r="M256" s="12"/>
    </row>
    <row r="257" customFormat="false" ht="15" hidden="false" customHeight="true" outlineLevel="0" collapsed="false">
      <c r="A257" s="12"/>
      <c r="B257" s="12"/>
      <c r="C257" s="12"/>
      <c r="D257" s="12"/>
      <c r="E257" s="12"/>
      <c r="F257" s="12"/>
      <c r="G257" s="12"/>
      <c r="H257" s="11"/>
      <c r="I257" s="17"/>
      <c r="J257" s="11"/>
      <c r="K257" s="17"/>
      <c r="L257" s="12"/>
      <c r="M257" s="12"/>
    </row>
    <row r="258" customFormat="false" ht="15" hidden="false" customHeight="true" outlineLevel="0" collapsed="false">
      <c r="A258" s="12"/>
      <c r="B258" s="12"/>
      <c r="C258" s="12"/>
      <c r="D258" s="12"/>
      <c r="E258" s="12"/>
      <c r="F258" s="12"/>
      <c r="G258" s="12"/>
      <c r="H258" s="11"/>
      <c r="I258" s="17"/>
      <c r="J258" s="11"/>
      <c r="K258" s="17"/>
      <c r="L258" s="12"/>
      <c r="M258" s="12"/>
    </row>
    <row r="259" customFormat="false" ht="15" hidden="false" customHeight="true" outlineLevel="0" collapsed="false">
      <c r="A259" s="12"/>
      <c r="B259" s="12"/>
      <c r="C259" s="12"/>
      <c r="D259" s="12"/>
      <c r="E259" s="12"/>
      <c r="F259" s="12"/>
      <c r="G259" s="12"/>
      <c r="H259" s="11"/>
      <c r="I259" s="17"/>
      <c r="J259" s="11"/>
      <c r="K259" s="17"/>
      <c r="L259" s="12"/>
      <c r="M259" s="12"/>
    </row>
    <row r="260" customFormat="false" ht="15" hidden="false" customHeight="true" outlineLevel="0" collapsed="false">
      <c r="A260" s="12"/>
      <c r="B260" s="12"/>
      <c r="C260" s="12"/>
      <c r="D260" s="12"/>
      <c r="E260" s="12"/>
      <c r="F260" s="12"/>
      <c r="G260" s="12"/>
      <c r="H260" s="11"/>
      <c r="I260" s="17"/>
      <c r="J260" s="11"/>
      <c r="K260" s="17"/>
      <c r="L260" s="12"/>
      <c r="M260" s="12"/>
    </row>
    <row r="261" customFormat="false" ht="15" hidden="false" customHeight="true" outlineLevel="0" collapsed="false">
      <c r="A261" s="12"/>
      <c r="B261" s="12"/>
      <c r="C261" s="12"/>
      <c r="D261" s="12"/>
      <c r="E261" s="12"/>
      <c r="F261" s="12"/>
      <c r="G261" s="12"/>
      <c r="H261" s="11"/>
      <c r="I261" s="17"/>
      <c r="J261" s="11"/>
      <c r="K261" s="17"/>
      <c r="L261" s="12"/>
      <c r="M261" s="12"/>
    </row>
    <row r="262" customFormat="false" ht="1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1"/>
      <c r="I262" s="17"/>
      <c r="J262" s="11"/>
      <c r="K262" s="17"/>
      <c r="L262" s="12"/>
      <c r="M262" s="12"/>
    </row>
    <row r="263" customFormat="false" ht="15" hidden="false" customHeight="true" outlineLevel="0" collapsed="false">
      <c r="A263" s="12"/>
      <c r="B263" s="12"/>
      <c r="C263" s="12"/>
      <c r="D263" s="12"/>
      <c r="E263" s="12"/>
      <c r="F263" s="12"/>
      <c r="G263" s="12"/>
      <c r="H263" s="11"/>
      <c r="I263" s="17"/>
      <c r="J263" s="11"/>
      <c r="K263" s="17"/>
      <c r="L263" s="12"/>
      <c r="M263" s="12"/>
    </row>
    <row r="264" customFormat="false" ht="15" hidden="false" customHeight="true" outlineLevel="0" collapsed="false">
      <c r="A264" s="12"/>
      <c r="B264" s="12"/>
      <c r="C264" s="12"/>
      <c r="D264" s="12"/>
      <c r="E264" s="12"/>
      <c r="F264" s="12"/>
      <c r="G264" s="12"/>
      <c r="H264" s="11"/>
      <c r="I264" s="17"/>
      <c r="J264" s="11"/>
      <c r="K264" s="17"/>
      <c r="L264" s="12"/>
      <c r="M264" s="12"/>
    </row>
    <row r="265" customFormat="false" ht="15" hidden="false" customHeight="true" outlineLevel="0" collapsed="false">
      <c r="A265" s="12"/>
      <c r="B265" s="12"/>
      <c r="C265" s="12"/>
      <c r="D265" s="12"/>
      <c r="E265" s="12"/>
      <c r="F265" s="12"/>
      <c r="G265" s="12"/>
      <c r="H265" s="11"/>
      <c r="I265" s="17"/>
      <c r="J265" s="11"/>
      <c r="K265" s="17"/>
      <c r="L265" s="12"/>
      <c r="M265" s="12"/>
    </row>
    <row r="266" customFormat="false" ht="15" hidden="false" customHeight="true" outlineLevel="0" collapsed="false">
      <c r="A266" s="12"/>
      <c r="B266" s="12"/>
      <c r="C266" s="12"/>
      <c r="D266" s="12"/>
      <c r="E266" s="12"/>
      <c r="F266" s="12"/>
      <c r="G266" s="12"/>
      <c r="H266" s="11"/>
      <c r="I266" s="17"/>
      <c r="J266" s="11"/>
      <c r="K266" s="17"/>
      <c r="L266" s="12"/>
      <c r="M266" s="12"/>
    </row>
    <row r="267" customFormat="false" ht="15" hidden="false" customHeight="true" outlineLevel="0" collapsed="false">
      <c r="A267" s="12"/>
      <c r="B267" s="12"/>
      <c r="C267" s="12"/>
      <c r="D267" s="12"/>
      <c r="E267" s="12"/>
      <c r="F267" s="12"/>
      <c r="G267" s="12"/>
      <c r="H267" s="11"/>
      <c r="I267" s="17"/>
      <c r="J267" s="11"/>
      <c r="K267" s="17"/>
      <c r="L267" s="12"/>
      <c r="M267" s="12"/>
    </row>
    <row r="268" customFormat="false" ht="15" hidden="false" customHeight="true" outlineLevel="0" collapsed="false">
      <c r="A268" s="12"/>
      <c r="B268" s="12"/>
      <c r="C268" s="12"/>
      <c r="D268" s="12"/>
      <c r="E268" s="12"/>
      <c r="F268" s="12"/>
      <c r="G268" s="12"/>
      <c r="H268" s="11"/>
      <c r="I268" s="17"/>
      <c r="J268" s="11"/>
      <c r="K268" s="17"/>
      <c r="L268" s="12"/>
      <c r="M268" s="12"/>
    </row>
    <row r="269" customFormat="false" ht="15" hidden="false" customHeight="true" outlineLevel="0" collapsed="false">
      <c r="A269" s="12"/>
      <c r="B269" s="12"/>
      <c r="C269" s="12"/>
      <c r="D269" s="12"/>
      <c r="E269" s="12"/>
      <c r="F269" s="12"/>
      <c r="G269" s="12"/>
      <c r="H269" s="11"/>
      <c r="I269" s="17"/>
      <c r="J269" s="11"/>
      <c r="K269" s="17"/>
      <c r="L269" s="12"/>
      <c r="M269" s="12"/>
    </row>
    <row r="270" customFormat="false" ht="15" hidden="false" customHeight="true" outlineLevel="0" collapsed="false">
      <c r="A270" s="12"/>
      <c r="B270" s="12"/>
      <c r="C270" s="12"/>
      <c r="D270" s="12"/>
      <c r="E270" s="12"/>
      <c r="F270" s="12"/>
      <c r="G270" s="12"/>
      <c r="H270" s="11"/>
      <c r="I270" s="17"/>
      <c r="J270" s="11"/>
      <c r="K270" s="17"/>
      <c r="L270" s="12"/>
      <c r="M270" s="12"/>
    </row>
    <row r="271" customFormat="false" ht="1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1"/>
      <c r="I271" s="17"/>
      <c r="J271" s="11"/>
      <c r="K271" s="17"/>
      <c r="L271" s="12"/>
      <c r="M271" s="12"/>
    </row>
    <row r="272" customFormat="false" ht="15" hidden="false" customHeight="true" outlineLevel="0" collapsed="false">
      <c r="A272" s="12"/>
      <c r="B272" s="12"/>
      <c r="C272" s="12"/>
      <c r="D272" s="12"/>
      <c r="E272" s="12"/>
      <c r="F272" s="12"/>
      <c r="G272" s="12"/>
      <c r="H272" s="11"/>
      <c r="I272" s="17"/>
      <c r="J272" s="11"/>
      <c r="K272" s="17"/>
      <c r="L272" s="12"/>
      <c r="M272" s="12"/>
    </row>
    <row r="273" customFormat="false" ht="15" hidden="false" customHeight="true" outlineLevel="0" collapsed="false">
      <c r="A273" s="12"/>
      <c r="B273" s="12"/>
      <c r="C273" s="12"/>
      <c r="D273" s="12"/>
      <c r="E273" s="12"/>
      <c r="F273" s="12"/>
      <c r="G273" s="12"/>
      <c r="H273" s="11"/>
      <c r="I273" s="17"/>
      <c r="J273" s="11"/>
      <c r="K273" s="17"/>
      <c r="L273" s="12"/>
      <c r="M273" s="12"/>
    </row>
    <row r="274" customFormat="false" ht="1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1"/>
      <c r="I274" s="17"/>
      <c r="J274" s="11"/>
      <c r="K274" s="17"/>
      <c r="L274" s="12"/>
      <c r="M274" s="12"/>
    </row>
    <row r="275" customFormat="false" ht="15" hidden="false" customHeight="true" outlineLevel="0" collapsed="false">
      <c r="A275" s="12"/>
      <c r="B275" s="12"/>
      <c r="C275" s="12"/>
      <c r="D275" s="12"/>
      <c r="E275" s="12"/>
      <c r="F275" s="12"/>
      <c r="G275" s="12"/>
      <c r="H275" s="11"/>
      <c r="I275" s="17"/>
      <c r="J275" s="11"/>
      <c r="K275" s="17"/>
      <c r="L275" s="12"/>
      <c r="M275" s="12"/>
    </row>
    <row r="276" customFormat="false" ht="15" hidden="false" customHeight="true" outlineLevel="0" collapsed="false">
      <c r="A276" s="12"/>
      <c r="B276" s="12"/>
      <c r="C276" s="12"/>
      <c r="D276" s="12"/>
      <c r="E276" s="12"/>
      <c r="F276" s="12"/>
      <c r="G276" s="12"/>
      <c r="H276" s="11"/>
      <c r="I276" s="17"/>
      <c r="J276" s="11"/>
      <c r="K276" s="17"/>
      <c r="L276" s="12"/>
      <c r="M276" s="12"/>
    </row>
    <row r="277" customFormat="false" ht="15" hidden="false" customHeight="true" outlineLevel="0" collapsed="false">
      <c r="A277" s="12"/>
      <c r="B277" s="12"/>
      <c r="C277" s="12"/>
      <c r="D277" s="12"/>
      <c r="E277" s="12"/>
      <c r="F277" s="12"/>
      <c r="G277" s="12"/>
      <c r="H277" s="11"/>
      <c r="I277" s="17"/>
      <c r="J277" s="11"/>
      <c r="K277" s="17"/>
      <c r="L277" s="12"/>
      <c r="M277" s="12"/>
    </row>
    <row r="278" customFormat="false" ht="15" hidden="false" customHeight="true" outlineLevel="0" collapsed="false">
      <c r="A278" s="12"/>
      <c r="B278" s="12"/>
      <c r="C278" s="12"/>
      <c r="D278" s="12"/>
      <c r="E278" s="12"/>
      <c r="F278" s="12"/>
      <c r="G278" s="12"/>
      <c r="H278" s="11"/>
      <c r="I278" s="17"/>
      <c r="J278" s="11"/>
      <c r="K278" s="17"/>
      <c r="L278" s="12"/>
      <c r="M278" s="12"/>
    </row>
    <row r="279" customFormat="false" ht="15" hidden="false" customHeight="true" outlineLevel="0" collapsed="false">
      <c r="A279" s="12"/>
      <c r="B279" s="12"/>
      <c r="C279" s="12"/>
      <c r="D279" s="12"/>
      <c r="E279" s="12"/>
      <c r="F279" s="12"/>
      <c r="G279" s="12"/>
      <c r="H279" s="11"/>
      <c r="I279" s="17"/>
      <c r="J279" s="11"/>
      <c r="K279" s="17"/>
      <c r="L279" s="12"/>
      <c r="M279" s="12"/>
    </row>
    <row r="280" customFormat="false" ht="1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1"/>
      <c r="I280" s="17"/>
      <c r="J280" s="11"/>
      <c r="K280" s="17"/>
      <c r="L280" s="12"/>
      <c r="M280" s="12"/>
    </row>
    <row r="281" customFormat="false" ht="1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1"/>
      <c r="I281" s="17"/>
      <c r="J281" s="11"/>
      <c r="K281" s="17"/>
      <c r="L281" s="12"/>
      <c r="M281" s="12"/>
    </row>
    <row r="282" customFormat="false" ht="1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1"/>
      <c r="I282" s="17"/>
      <c r="J282" s="11"/>
      <c r="K282" s="17"/>
      <c r="L282" s="12"/>
      <c r="M282" s="12"/>
    </row>
    <row r="283" customFormat="false" ht="1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1"/>
      <c r="I283" s="17"/>
      <c r="J283" s="11"/>
      <c r="K283" s="17"/>
      <c r="L283" s="12"/>
      <c r="M283" s="12"/>
    </row>
    <row r="284" customFormat="false" ht="1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1"/>
      <c r="I284" s="17"/>
      <c r="J284" s="11"/>
      <c r="K284" s="17"/>
      <c r="L284" s="12"/>
      <c r="M284" s="12"/>
    </row>
    <row r="285" customFormat="false" ht="1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1"/>
      <c r="I285" s="17"/>
      <c r="J285" s="11"/>
      <c r="K285" s="17"/>
      <c r="L285" s="12"/>
      <c r="M285" s="12"/>
    </row>
    <row r="286" customFormat="false" ht="1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1"/>
      <c r="I286" s="17"/>
      <c r="J286" s="11"/>
      <c r="K286" s="17"/>
      <c r="L286" s="12"/>
      <c r="M286" s="12"/>
    </row>
    <row r="287" customFormat="false" ht="1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1"/>
      <c r="I287" s="17"/>
      <c r="J287" s="11"/>
      <c r="K287" s="17"/>
      <c r="L287" s="12"/>
      <c r="M287" s="12"/>
    </row>
    <row r="288" customFormat="false" ht="1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1"/>
      <c r="I288" s="17"/>
      <c r="J288" s="11"/>
      <c r="K288" s="17"/>
      <c r="L288" s="12"/>
      <c r="M288" s="12"/>
    </row>
    <row r="289" customFormat="false" ht="1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1"/>
      <c r="I289" s="17"/>
      <c r="J289" s="11"/>
      <c r="K289" s="17"/>
      <c r="L289" s="12"/>
      <c r="M289" s="12"/>
    </row>
    <row r="290" customFormat="false" ht="1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1"/>
      <c r="I290" s="17"/>
      <c r="J290" s="11"/>
      <c r="K290" s="17"/>
      <c r="L290" s="12"/>
      <c r="M290" s="12"/>
    </row>
    <row r="291" customFormat="false" ht="1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1"/>
      <c r="I291" s="17"/>
      <c r="J291" s="11"/>
      <c r="K291" s="17"/>
      <c r="L291" s="12"/>
      <c r="M291" s="12"/>
    </row>
    <row r="292" customFormat="false" ht="1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1"/>
      <c r="I292" s="17"/>
      <c r="J292" s="11"/>
      <c r="K292" s="17"/>
      <c r="L292" s="12"/>
      <c r="M292" s="12"/>
    </row>
    <row r="293" customFormat="false" ht="1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1"/>
      <c r="I293" s="17"/>
      <c r="J293" s="11"/>
      <c r="K293" s="17"/>
      <c r="L293" s="12"/>
      <c r="M293" s="12"/>
    </row>
    <row r="294" customFormat="false" ht="1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1"/>
      <c r="I294" s="17"/>
      <c r="J294" s="11"/>
      <c r="K294" s="17"/>
      <c r="L294" s="12"/>
      <c r="M294" s="12"/>
    </row>
    <row r="295" customFormat="false" ht="1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1"/>
      <c r="I295" s="17"/>
      <c r="J295" s="11"/>
      <c r="K295" s="17"/>
      <c r="L295" s="12"/>
      <c r="M295" s="12"/>
    </row>
    <row r="296" customFormat="false" ht="1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1"/>
      <c r="I296" s="17"/>
      <c r="J296" s="11"/>
      <c r="K296" s="17"/>
      <c r="L296" s="12"/>
      <c r="M296" s="12"/>
    </row>
    <row r="297" customFormat="false" ht="1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1"/>
      <c r="I297" s="17"/>
      <c r="J297" s="11"/>
      <c r="K297" s="17"/>
      <c r="L297" s="12"/>
      <c r="M297" s="12"/>
    </row>
    <row r="298" customFormat="false" ht="1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1"/>
      <c r="I298" s="17"/>
      <c r="J298" s="11"/>
      <c r="K298" s="17"/>
      <c r="L298" s="12"/>
      <c r="M298" s="12"/>
    </row>
    <row r="299" customFormat="false" ht="1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1"/>
      <c r="I299" s="17"/>
      <c r="J299" s="11"/>
      <c r="K299" s="17"/>
      <c r="L299" s="12"/>
      <c r="M299" s="12"/>
    </row>
    <row r="300" customFormat="false" ht="1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1"/>
      <c r="I300" s="17"/>
      <c r="J300" s="11"/>
      <c r="K300" s="17"/>
      <c r="L300" s="12"/>
      <c r="M300" s="12"/>
    </row>
    <row r="301" customFormat="false" ht="1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1"/>
      <c r="I301" s="17"/>
      <c r="J301" s="11"/>
      <c r="K301" s="17"/>
      <c r="L301" s="12"/>
      <c r="M301" s="12"/>
    </row>
    <row r="302" customFormat="false" ht="1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1"/>
      <c r="I302" s="17"/>
      <c r="J302" s="11"/>
      <c r="K302" s="17"/>
      <c r="L302" s="12"/>
      <c r="M302" s="12"/>
    </row>
    <row r="303" customFormat="false" ht="1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1"/>
      <c r="I303" s="17"/>
      <c r="J303" s="11"/>
      <c r="K303" s="17"/>
      <c r="L303" s="12"/>
      <c r="M303" s="12"/>
    </row>
    <row r="304" customFormat="false" ht="1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1"/>
      <c r="I304" s="17"/>
      <c r="J304" s="11"/>
      <c r="K304" s="17"/>
      <c r="L304" s="12"/>
      <c r="M304" s="12"/>
    </row>
    <row r="305" customFormat="false" ht="1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1"/>
      <c r="I305" s="17"/>
      <c r="J305" s="11"/>
      <c r="K305" s="17"/>
      <c r="L305" s="12"/>
      <c r="M305" s="12"/>
    </row>
    <row r="306" customFormat="false" ht="1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1"/>
      <c r="I306" s="17"/>
      <c r="J306" s="11"/>
      <c r="K306" s="17"/>
      <c r="L306" s="12"/>
      <c r="M306" s="12"/>
    </row>
    <row r="307" customFormat="false" ht="1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1"/>
      <c r="I307" s="17"/>
      <c r="J307" s="11"/>
      <c r="K307" s="17"/>
      <c r="L307" s="12"/>
      <c r="M307" s="12"/>
    </row>
    <row r="308" customFormat="false" ht="1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1"/>
      <c r="I308" s="17"/>
      <c r="J308" s="11"/>
      <c r="K308" s="17"/>
      <c r="L308" s="12"/>
      <c r="M308" s="12"/>
    </row>
    <row r="309" customFormat="false" ht="1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1"/>
      <c r="I309" s="17"/>
      <c r="J309" s="11"/>
      <c r="K309" s="17"/>
      <c r="L309" s="12"/>
      <c r="M309" s="12"/>
    </row>
    <row r="310" customFormat="false" ht="1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1"/>
      <c r="I310" s="17"/>
      <c r="J310" s="11"/>
      <c r="K310" s="17"/>
      <c r="L310" s="12"/>
      <c r="M310" s="12"/>
    </row>
    <row r="311" customFormat="false" ht="1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1"/>
      <c r="I311" s="17"/>
      <c r="J311" s="11"/>
      <c r="K311" s="17"/>
      <c r="L311" s="12"/>
      <c r="M311" s="12"/>
    </row>
    <row r="312" customFormat="false" ht="1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1"/>
      <c r="I312" s="17"/>
      <c r="J312" s="11"/>
      <c r="K312" s="17"/>
      <c r="L312" s="12"/>
      <c r="M312" s="12"/>
    </row>
    <row r="313" customFormat="false" ht="1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1"/>
      <c r="I313" s="17"/>
      <c r="J313" s="11"/>
      <c r="K313" s="17"/>
      <c r="L313" s="12"/>
      <c r="M313" s="12"/>
    </row>
    <row r="314" customFormat="false" ht="1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1"/>
      <c r="I314" s="17"/>
      <c r="J314" s="11"/>
      <c r="K314" s="17"/>
      <c r="L314" s="12"/>
      <c r="M314" s="12"/>
    </row>
    <row r="315" customFormat="false" ht="1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1"/>
      <c r="I315" s="17"/>
      <c r="J315" s="11"/>
      <c r="K315" s="17"/>
      <c r="L315" s="12"/>
      <c r="M315" s="12"/>
    </row>
    <row r="316" customFormat="false" ht="1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1"/>
      <c r="I316" s="17"/>
      <c r="J316" s="11"/>
      <c r="K316" s="17"/>
      <c r="L316" s="12"/>
      <c r="M316" s="12"/>
    </row>
    <row r="317" customFormat="false" ht="1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1"/>
      <c r="I317" s="17"/>
      <c r="J317" s="11"/>
      <c r="K317" s="17"/>
      <c r="L317" s="12"/>
      <c r="M317" s="12"/>
    </row>
    <row r="318" customFormat="false" ht="1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1"/>
      <c r="I318" s="17"/>
      <c r="J318" s="11"/>
      <c r="K318" s="17"/>
      <c r="L318" s="12"/>
      <c r="M318" s="12"/>
    </row>
    <row r="319" customFormat="false" ht="1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1"/>
      <c r="I319" s="17"/>
      <c r="J319" s="11"/>
      <c r="K319" s="17"/>
      <c r="L319" s="12"/>
      <c r="M319" s="12"/>
    </row>
    <row r="320" customFormat="false" ht="1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1"/>
      <c r="I320" s="17"/>
      <c r="J320" s="11"/>
      <c r="K320" s="17"/>
      <c r="L320" s="12"/>
      <c r="M320" s="12"/>
    </row>
    <row r="321" customFormat="false" ht="1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1"/>
      <c r="I321" s="17"/>
      <c r="J321" s="11"/>
      <c r="K321" s="17"/>
      <c r="L321" s="12"/>
      <c r="M321" s="12"/>
    </row>
    <row r="322" customFormat="false" ht="1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1"/>
      <c r="I322" s="17"/>
      <c r="J322" s="11"/>
      <c r="K322" s="17"/>
      <c r="L322" s="12"/>
      <c r="M322" s="12"/>
    </row>
    <row r="323" customFormat="false" ht="1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1"/>
      <c r="I323" s="17"/>
      <c r="J323" s="11"/>
      <c r="K323" s="17"/>
      <c r="L323" s="12"/>
      <c r="M323" s="12"/>
    </row>
    <row r="324" customFormat="false" ht="1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1"/>
      <c r="I324" s="17"/>
      <c r="J324" s="11"/>
      <c r="K324" s="17"/>
      <c r="L324" s="12"/>
      <c r="M324" s="12"/>
    </row>
    <row r="325" customFormat="false" ht="1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1"/>
      <c r="I325" s="17"/>
      <c r="J325" s="11"/>
      <c r="K325" s="17"/>
      <c r="L325" s="12"/>
      <c r="M325" s="12"/>
    </row>
    <row r="326" customFormat="false" ht="1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1"/>
      <c r="I326" s="17"/>
      <c r="J326" s="11"/>
      <c r="K326" s="17"/>
      <c r="L326" s="12"/>
      <c r="M326" s="12"/>
    </row>
    <row r="327" customFormat="false" ht="1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1"/>
      <c r="I327" s="17"/>
      <c r="J327" s="11"/>
      <c r="K327" s="17"/>
      <c r="L327" s="12"/>
      <c r="M327" s="12"/>
    </row>
    <row r="328" customFormat="false" ht="1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1"/>
      <c r="I328" s="17"/>
      <c r="J328" s="11"/>
      <c r="K328" s="17"/>
      <c r="L328" s="12"/>
      <c r="M328" s="12"/>
    </row>
    <row r="329" customFormat="false" ht="1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1"/>
      <c r="I329" s="17"/>
      <c r="J329" s="11"/>
      <c r="K329" s="17"/>
      <c r="L329" s="12"/>
      <c r="M329" s="12"/>
    </row>
    <row r="330" customFormat="false" ht="1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1"/>
      <c r="I330" s="17"/>
      <c r="J330" s="11"/>
      <c r="K330" s="17"/>
      <c r="L330" s="12"/>
      <c r="M330" s="12"/>
    </row>
    <row r="331" customFormat="false" ht="1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1"/>
      <c r="I331" s="17"/>
      <c r="J331" s="11"/>
      <c r="K331" s="17"/>
      <c r="L331" s="12"/>
      <c r="M331" s="12"/>
    </row>
    <row r="332" customFormat="false" ht="1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1"/>
      <c r="I332" s="17"/>
      <c r="J332" s="11"/>
      <c r="K332" s="17"/>
      <c r="L332" s="12"/>
      <c r="M332" s="12"/>
    </row>
    <row r="333" customFormat="false" ht="1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1"/>
      <c r="I333" s="17"/>
      <c r="J333" s="11"/>
      <c r="K333" s="17"/>
      <c r="L333" s="12"/>
      <c r="M333" s="12"/>
    </row>
    <row r="334" customFormat="false" ht="1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1"/>
      <c r="I334" s="17"/>
      <c r="J334" s="11"/>
      <c r="K334" s="17"/>
      <c r="L334" s="12"/>
      <c r="M334" s="12"/>
    </row>
    <row r="335" customFormat="false" ht="1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1"/>
      <c r="I335" s="17"/>
      <c r="J335" s="11"/>
      <c r="K335" s="17"/>
      <c r="L335" s="12"/>
      <c r="M335" s="12"/>
    </row>
    <row r="336" customFormat="false" ht="1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1"/>
      <c r="I336" s="17"/>
      <c r="J336" s="11"/>
      <c r="K336" s="17"/>
      <c r="L336" s="12"/>
      <c r="M336" s="12"/>
    </row>
    <row r="337" customFormat="false" ht="1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1"/>
      <c r="I337" s="17"/>
      <c r="J337" s="11"/>
      <c r="K337" s="17"/>
      <c r="L337" s="12"/>
      <c r="M337" s="12"/>
    </row>
    <row r="338" customFormat="false" ht="1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1"/>
      <c r="I338" s="17"/>
      <c r="J338" s="11"/>
      <c r="K338" s="17"/>
      <c r="L338" s="12"/>
      <c r="M338" s="12"/>
    </row>
    <row r="339" customFormat="false" ht="1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1"/>
      <c r="I339" s="17"/>
      <c r="J339" s="11"/>
      <c r="K339" s="17"/>
      <c r="L339" s="12"/>
      <c r="M339" s="12"/>
    </row>
    <row r="340" customFormat="false" ht="1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1"/>
      <c r="I340" s="17"/>
      <c r="J340" s="11"/>
      <c r="K340" s="17"/>
      <c r="L340" s="12"/>
      <c r="M340" s="12"/>
    </row>
    <row r="341" customFormat="false" ht="1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1"/>
      <c r="I341" s="17"/>
      <c r="J341" s="11"/>
      <c r="K341" s="17"/>
      <c r="L341" s="12"/>
      <c r="M341" s="12"/>
    </row>
    <row r="342" customFormat="false" ht="1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1"/>
      <c r="I342" s="17"/>
      <c r="J342" s="11"/>
      <c r="K342" s="17"/>
      <c r="L342" s="12"/>
      <c r="M342" s="12"/>
    </row>
    <row r="343" customFormat="false" ht="1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1"/>
      <c r="I343" s="17"/>
      <c r="J343" s="11"/>
      <c r="K343" s="17"/>
      <c r="L343" s="12"/>
      <c r="M343" s="12"/>
    </row>
    <row r="344" customFormat="false" ht="1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1"/>
      <c r="I344" s="17"/>
      <c r="J344" s="11"/>
      <c r="K344" s="17"/>
      <c r="L344" s="12"/>
      <c r="M344" s="12"/>
    </row>
    <row r="345" customFormat="false" ht="1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1"/>
      <c r="I345" s="17"/>
      <c r="J345" s="11"/>
      <c r="K345" s="17"/>
      <c r="L345" s="12"/>
      <c r="M345" s="12"/>
    </row>
    <row r="346" customFormat="false" ht="1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1"/>
      <c r="I346" s="17"/>
      <c r="J346" s="11"/>
      <c r="K346" s="17"/>
      <c r="L346" s="12"/>
      <c r="M346" s="12"/>
    </row>
    <row r="347" customFormat="false" ht="1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1"/>
      <c r="I347" s="17"/>
      <c r="J347" s="11"/>
      <c r="K347" s="17"/>
      <c r="L347" s="12"/>
      <c r="M347" s="12"/>
    </row>
    <row r="348" customFormat="false" ht="1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1"/>
      <c r="I348" s="17"/>
      <c r="J348" s="11"/>
      <c r="K348" s="17"/>
      <c r="L348" s="12"/>
      <c r="M348" s="12"/>
    </row>
    <row r="349" customFormat="false" ht="1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1"/>
      <c r="I349" s="17"/>
      <c r="J349" s="11"/>
      <c r="K349" s="17"/>
      <c r="L349" s="12"/>
      <c r="M349" s="12"/>
    </row>
    <row r="350" customFormat="false" ht="1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1"/>
      <c r="I350" s="17"/>
      <c r="J350" s="11"/>
      <c r="K350" s="17"/>
      <c r="L350" s="12"/>
      <c r="M350" s="12"/>
    </row>
    <row r="351" customFormat="false" ht="1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1"/>
      <c r="I351" s="17"/>
      <c r="J351" s="11"/>
      <c r="K351" s="17"/>
      <c r="L351" s="12"/>
      <c r="M351" s="12"/>
    </row>
    <row r="352" customFormat="false" ht="1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1"/>
      <c r="I352" s="17"/>
      <c r="J352" s="11"/>
      <c r="K352" s="17"/>
      <c r="L352" s="12"/>
      <c r="M352" s="12"/>
    </row>
    <row r="353" customFormat="false" ht="1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1"/>
      <c r="I353" s="17"/>
      <c r="J353" s="11"/>
      <c r="K353" s="17"/>
      <c r="L353" s="12"/>
      <c r="M353" s="12"/>
    </row>
    <row r="354" customFormat="false" ht="1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1"/>
      <c r="I354" s="17"/>
      <c r="J354" s="11"/>
      <c r="K354" s="17"/>
      <c r="L354" s="12"/>
      <c r="M354" s="12"/>
    </row>
    <row r="355" customFormat="false" ht="1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1"/>
      <c r="I355" s="17"/>
      <c r="J355" s="11"/>
      <c r="K355" s="17"/>
      <c r="L355" s="12"/>
      <c r="M355" s="12"/>
    </row>
    <row r="356" customFormat="false" ht="1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1"/>
      <c r="I356" s="17"/>
      <c r="J356" s="11"/>
      <c r="K356" s="17"/>
      <c r="L356" s="12"/>
      <c r="M356" s="12"/>
    </row>
    <row r="357" customFormat="false" ht="1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1"/>
      <c r="I357" s="17"/>
      <c r="J357" s="11"/>
      <c r="K357" s="17"/>
      <c r="L357" s="12"/>
      <c r="M357" s="12"/>
    </row>
    <row r="358" customFormat="false" ht="1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1"/>
      <c r="I358" s="17"/>
      <c r="J358" s="11"/>
      <c r="K358" s="17"/>
      <c r="L358" s="12"/>
      <c r="M358" s="12"/>
    </row>
    <row r="359" customFormat="false" ht="1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1"/>
      <c r="I359" s="17"/>
      <c r="J359" s="11"/>
      <c r="K359" s="17"/>
      <c r="L359" s="12"/>
      <c r="M359" s="12"/>
    </row>
    <row r="360" customFormat="false" ht="1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1"/>
      <c r="I360" s="17"/>
      <c r="J360" s="11"/>
      <c r="K360" s="17"/>
      <c r="L360" s="12"/>
      <c r="M360" s="12"/>
    </row>
    <row r="361" customFormat="false" ht="1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1"/>
      <c r="I361" s="17"/>
      <c r="J361" s="11"/>
      <c r="K361" s="17"/>
      <c r="L361" s="12"/>
      <c r="M361" s="12"/>
    </row>
    <row r="362" customFormat="false" ht="1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1"/>
      <c r="I362" s="17"/>
      <c r="J362" s="11"/>
      <c r="K362" s="17"/>
      <c r="L362" s="12"/>
      <c r="M362" s="12"/>
    </row>
    <row r="363" customFormat="false" ht="1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1"/>
      <c r="I363" s="17"/>
      <c r="J363" s="11"/>
      <c r="K363" s="17"/>
      <c r="L363" s="12"/>
      <c r="M363" s="12"/>
    </row>
    <row r="364" customFormat="false" ht="1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1"/>
      <c r="I364" s="17"/>
      <c r="J364" s="11"/>
      <c r="K364" s="17"/>
      <c r="L364" s="12"/>
      <c r="M364" s="12"/>
    </row>
    <row r="365" customFormat="false" ht="1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1"/>
      <c r="I365" s="17"/>
      <c r="J365" s="11"/>
      <c r="K365" s="17"/>
      <c r="L365" s="12"/>
      <c r="M365" s="12"/>
    </row>
    <row r="366" customFormat="false" ht="1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1"/>
      <c r="I366" s="17"/>
      <c r="J366" s="11"/>
      <c r="K366" s="17"/>
      <c r="L366" s="12"/>
      <c r="M366" s="12"/>
    </row>
    <row r="367" customFormat="false" ht="1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1"/>
      <c r="I367" s="17"/>
      <c r="J367" s="11"/>
      <c r="K367" s="17"/>
      <c r="L367" s="12"/>
      <c r="M367" s="12"/>
    </row>
    <row r="368" customFormat="false" ht="1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1"/>
      <c r="I368" s="17"/>
      <c r="J368" s="11"/>
      <c r="K368" s="17"/>
      <c r="L368" s="12"/>
      <c r="M368" s="12"/>
    </row>
    <row r="369" customFormat="false" ht="1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1"/>
      <c r="I369" s="17"/>
      <c r="J369" s="11"/>
      <c r="K369" s="17"/>
      <c r="L369" s="12"/>
      <c r="M369" s="12"/>
    </row>
    <row r="370" customFormat="false" ht="1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1"/>
      <c r="I370" s="17"/>
      <c r="J370" s="11"/>
      <c r="K370" s="17"/>
      <c r="L370" s="12"/>
      <c r="M370" s="12"/>
    </row>
    <row r="371" customFormat="false" ht="1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1"/>
      <c r="I371" s="17"/>
      <c r="J371" s="11"/>
      <c r="K371" s="17"/>
      <c r="L371" s="12"/>
      <c r="M371" s="12"/>
    </row>
    <row r="372" customFormat="false" ht="1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1"/>
      <c r="I372" s="17"/>
      <c r="J372" s="11"/>
      <c r="K372" s="17"/>
      <c r="L372" s="12"/>
      <c r="M372" s="12"/>
    </row>
    <row r="373" customFormat="false" ht="1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1"/>
      <c r="I373" s="17"/>
      <c r="J373" s="11"/>
      <c r="K373" s="17"/>
      <c r="L373" s="12"/>
      <c r="M373" s="12"/>
    </row>
    <row r="374" customFormat="false" ht="1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1"/>
      <c r="I374" s="17"/>
      <c r="J374" s="11"/>
      <c r="K374" s="17"/>
      <c r="L374" s="12"/>
      <c r="M374" s="12"/>
    </row>
    <row r="375" customFormat="false" ht="1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1"/>
      <c r="I375" s="17"/>
      <c r="J375" s="11"/>
      <c r="K375" s="17"/>
      <c r="L375" s="12"/>
      <c r="M375" s="12"/>
    </row>
    <row r="376" customFormat="false" ht="1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1"/>
      <c r="I376" s="17"/>
      <c r="J376" s="11"/>
      <c r="K376" s="17"/>
      <c r="L376" s="12"/>
      <c r="M376" s="12"/>
    </row>
    <row r="377" customFormat="false" ht="1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1"/>
      <c r="I377" s="17"/>
      <c r="J377" s="11"/>
      <c r="K377" s="17"/>
      <c r="L377" s="12"/>
      <c r="M377" s="12"/>
    </row>
    <row r="378" customFormat="false" ht="1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1"/>
      <c r="I378" s="17"/>
      <c r="J378" s="11"/>
      <c r="K378" s="17"/>
      <c r="L378" s="12"/>
      <c r="M378" s="12"/>
    </row>
    <row r="379" customFormat="false" ht="1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1"/>
      <c r="I379" s="17"/>
      <c r="J379" s="11"/>
      <c r="K379" s="17"/>
      <c r="L379" s="12"/>
      <c r="M379" s="12"/>
    </row>
    <row r="380" customFormat="false" ht="1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1"/>
      <c r="I380" s="17"/>
      <c r="J380" s="11"/>
      <c r="K380" s="17"/>
      <c r="L380" s="12"/>
      <c r="M380" s="12"/>
    </row>
    <row r="381" customFormat="false" ht="1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1"/>
      <c r="I381" s="17"/>
      <c r="J381" s="11"/>
      <c r="K381" s="17"/>
      <c r="L381" s="12"/>
      <c r="M381" s="12"/>
    </row>
    <row r="382" customFormat="false" ht="1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1"/>
      <c r="I382" s="17"/>
      <c r="J382" s="11"/>
      <c r="K382" s="17"/>
      <c r="L382" s="12"/>
      <c r="M382" s="12"/>
    </row>
    <row r="383" customFormat="false" ht="1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1"/>
      <c r="I383" s="17"/>
      <c r="J383" s="11"/>
      <c r="K383" s="17"/>
      <c r="L383" s="12"/>
      <c r="M383" s="12"/>
    </row>
    <row r="384" customFormat="false" ht="1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1"/>
      <c r="I384" s="17"/>
      <c r="J384" s="11"/>
      <c r="K384" s="17"/>
      <c r="L384" s="12"/>
      <c r="M384" s="12"/>
    </row>
    <row r="385" customFormat="false" ht="1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1"/>
      <c r="I385" s="17"/>
      <c r="J385" s="11"/>
      <c r="K385" s="17"/>
      <c r="L385" s="12"/>
      <c r="M385" s="12"/>
    </row>
    <row r="386" customFormat="false" ht="1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1"/>
      <c r="I386" s="17"/>
      <c r="J386" s="11"/>
      <c r="K386" s="17"/>
      <c r="L386" s="12"/>
      <c r="M386" s="12"/>
    </row>
    <row r="387" customFormat="false" ht="1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1"/>
      <c r="I387" s="17"/>
      <c r="J387" s="11"/>
      <c r="K387" s="17"/>
      <c r="L387" s="12"/>
      <c r="M387" s="12"/>
    </row>
    <row r="388" customFormat="false" ht="1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1"/>
      <c r="I388" s="17"/>
      <c r="J388" s="11"/>
      <c r="K388" s="17"/>
      <c r="L388" s="12"/>
      <c r="M388" s="12"/>
    </row>
    <row r="389" customFormat="false" ht="1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1"/>
      <c r="I389" s="17"/>
      <c r="J389" s="11"/>
      <c r="K389" s="17"/>
      <c r="L389" s="12"/>
      <c r="M389" s="12"/>
    </row>
    <row r="390" customFormat="false" ht="1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1"/>
      <c r="I390" s="17"/>
      <c r="J390" s="11"/>
      <c r="K390" s="17"/>
      <c r="L390" s="12"/>
      <c r="M390" s="12"/>
    </row>
    <row r="391" customFormat="false" ht="1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1"/>
      <c r="I391" s="17"/>
      <c r="J391" s="11"/>
      <c r="K391" s="17"/>
      <c r="L391" s="12"/>
      <c r="M391" s="12"/>
    </row>
    <row r="392" customFormat="false" ht="1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1"/>
      <c r="I392" s="17"/>
      <c r="J392" s="11"/>
      <c r="K392" s="17"/>
      <c r="L392" s="12"/>
      <c r="M392" s="12"/>
    </row>
    <row r="393" customFormat="false" ht="1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1"/>
      <c r="I393" s="17"/>
      <c r="J393" s="11"/>
      <c r="K393" s="17"/>
      <c r="L393" s="12"/>
      <c r="M393" s="12"/>
    </row>
    <row r="394" customFormat="false" ht="1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1"/>
      <c r="I394" s="17"/>
      <c r="J394" s="11"/>
      <c r="K394" s="17"/>
      <c r="L394" s="12"/>
      <c r="M394" s="12"/>
    </row>
    <row r="395" customFormat="false" ht="1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1"/>
      <c r="I395" s="17"/>
      <c r="J395" s="11"/>
      <c r="K395" s="17"/>
      <c r="L395" s="12"/>
      <c r="M395" s="12"/>
    </row>
    <row r="396" customFormat="false" ht="1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1"/>
      <c r="I396" s="17"/>
      <c r="J396" s="11"/>
      <c r="K396" s="17"/>
      <c r="L396" s="12"/>
      <c r="M396" s="12"/>
    </row>
    <row r="397" customFormat="false" ht="1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1"/>
      <c r="I397" s="17"/>
      <c r="J397" s="11"/>
      <c r="K397" s="17"/>
      <c r="L397" s="12"/>
      <c r="M397" s="12"/>
    </row>
    <row r="398" customFormat="false" ht="1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1"/>
      <c r="I398" s="17"/>
      <c r="J398" s="11"/>
      <c r="K398" s="17"/>
      <c r="L398" s="12"/>
      <c r="M398" s="12"/>
    </row>
    <row r="399" customFormat="false" ht="1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1"/>
      <c r="I399" s="17"/>
      <c r="J399" s="11"/>
      <c r="K399" s="17"/>
      <c r="L399" s="12"/>
      <c r="M399" s="12"/>
    </row>
    <row r="400" customFormat="false" ht="1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1"/>
      <c r="I400" s="17"/>
      <c r="J400" s="11"/>
      <c r="K400" s="17"/>
      <c r="L400" s="12"/>
      <c r="M400" s="12"/>
    </row>
    <row r="401" customFormat="false" ht="1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1"/>
      <c r="I401" s="17"/>
      <c r="J401" s="11"/>
      <c r="K401" s="17"/>
      <c r="L401" s="12"/>
      <c r="M401" s="12"/>
    </row>
    <row r="402" customFormat="false" ht="1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1"/>
      <c r="I402" s="17"/>
      <c r="J402" s="11"/>
      <c r="K402" s="17"/>
      <c r="L402" s="12"/>
      <c r="M402" s="12"/>
    </row>
    <row r="403" customFormat="false" ht="1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1"/>
      <c r="I403" s="17"/>
      <c r="J403" s="11"/>
      <c r="K403" s="17"/>
      <c r="L403" s="12"/>
      <c r="M403" s="12"/>
    </row>
    <row r="404" customFormat="false" ht="1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1"/>
      <c r="I404" s="17"/>
      <c r="J404" s="11"/>
      <c r="K404" s="17"/>
      <c r="L404" s="12"/>
      <c r="M404" s="12"/>
    </row>
    <row r="405" customFormat="false" ht="1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1"/>
      <c r="I405" s="17"/>
      <c r="J405" s="11"/>
      <c r="K405" s="17"/>
      <c r="L405" s="12"/>
      <c r="M405" s="12"/>
    </row>
    <row r="406" customFormat="false" ht="1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1"/>
      <c r="I406" s="17"/>
      <c r="J406" s="11"/>
      <c r="K406" s="17"/>
      <c r="L406" s="12"/>
      <c r="M406" s="12"/>
    </row>
    <row r="407" customFormat="false" ht="1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1"/>
      <c r="I407" s="17"/>
      <c r="J407" s="11"/>
      <c r="K407" s="17"/>
      <c r="L407" s="12"/>
      <c r="M407" s="12"/>
    </row>
    <row r="408" customFormat="false" ht="1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1"/>
      <c r="I408" s="17"/>
      <c r="J408" s="11"/>
      <c r="K408" s="17"/>
      <c r="L408" s="12"/>
      <c r="M408" s="12"/>
    </row>
    <row r="409" customFormat="false" ht="1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1"/>
      <c r="I409" s="17"/>
      <c r="J409" s="11"/>
      <c r="K409" s="17"/>
      <c r="L409" s="12"/>
      <c r="M409" s="12"/>
    </row>
    <row r="410" customFormat="false" ht="1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1"/>
      <c r="I410" s="17"/>
      <c r="J410" s="11"/>
      <c r="K410" s="17"/>
      <c r="L410" s="12"/>
      <c r="M410" s="12"/>
    </row>
    <row r="411" customFormat="false" ht="1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1"/>
      <c r="I411" s="17"/>
      <c r="J411" s="11"/>
      <c r="K411" s="17"/>
      <c r="L411" s="12"/>
      <c r="M411" s="12"/>
    </row>
    <row r="412" customFormat="false" ht="1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1"/>
      <c r="I412" s="17"/>
      <c r="J412" s="11"/>
      <c r="K412" s="17"/>
      <c r="L412" s="12"/>
      <c r="M412" s="12"/>
    </row>
    <row r="413" customFormat="false" ht="1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1"/>
      <c r="I413" s="17"/>
      <c r="J413" s="11"/>
      <c r="K413" s="17"/>
      <c r="L413" s="12"/>
      <c r="M413" s="12"/>
    </row>
    <row r="414" customFormat="false" ht="1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1"/>
      <c r="I414" s="17"/>
      <c r="J414" s="11"/>
      <c r="K414" s="17"/>
      <c r="L414" s="12"/>
      <c r="M414" s="12"/>
    </row>
    <row r="415" customFormat="false" ht="1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1"/>
      <c r="I415" s="17"/>
      <c r="J415" s="11"/>
      <c r="K415" s="17"/>
      <c r="L415" s="12"/>
      <c r="M415" s="12"/>
    </row>
    <row r="416" customFormat="false" ht="1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1"/>
      <c r="I416" s="17"/>
      <c r="J416" s="11"/>
      <c r="K416" s="17"/>
      <c r="L416" s="12"/>
      <c r="M416" s="12"/>
    </row>
    <row r="417" customFormat="false" ht="1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1"/>
      <c r="I417" s="17"/>
      <c r="J417" s="11"/>
      <c r="K417" s="17"/>
      <c r="L417" s="12"/>
      <c r="M417" s="12"/>
    </row>
    <row r="418" customFormat="false" ht="1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1"/>
      <c r="I418" s="17"/>
      <c r="J418" s="11"/>
      <c r="K418" s="17"/>
      <c r="L418" s="12"/>
      <c r="M418" s="12"/>
    </row>
    <row r="419" customFormat="false" ht="1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1"/>
      <c r="I419" s="17"/>
      <c r="J419" s="11"/>
      <c r="K419" s="17"/>
      <c r="L419" s="12"/>
      <c r="M419" s="12"/>
    </row>
    <row r="420" customFormat="false" ht="1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1"/>
      <c r="I420" s="17"/>
      <c r="J420" s="11"/>
      <c r="K420" s="17"/>
      <c r="L420" s="12"/>
      <c r="M420" s="12"/>
    </row>
    <row r="421" customFormat="false" ht="1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1"/>
      <c r="I421" s="17"/>
      <c r="J421" s="11"/>
      <c r="K421" s="17"/>
      <c r="L421" s="12"/>
      <c r="M421" s="12"/>
    </row>
    <row r="422" customFormat="false" ht="1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1"/>
      <c r="I422" s="17"/>
      <c r="J422" s="11"/>
      <c r="K422" s="17"/>
      <c r="L422" s="12"/>
      <c r="M422" s="12"/>
    </row>
    <row r="423" customFormat="false" ht="1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1"/>
      <c r="I423" s="17"/>
      <c r="J423" s="11"/>
      <c r="K423" s="17"/>
      <c r="L423" s="12"/>
      <c r="M423" s="12"/>
    </row>
    <row r="424" customFormat="false" ht="1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1"/>
      <c r="I424" s="17"/>
      <c r="J424" s="11"/>
      <c r="K424" s="17"/>
      <c r="L424" s="12"/>
      <c r="M424" s="12"/>
    </row>
    <row r="425" customFormat="false" ht="1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1"/>
      <c r="I425" s="17"/>
      <c r="J425" s="11"/>
      <c r="K425" s="17"/>
      <c r="L425" s="12"/>
      <c r="M425" s="12"/>
    </row>
    <row r="426" customFormat="false" ht="1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1"/>
      <c r="I426" s="17"/>
      <c r="J426" s="11"/>
      <c r="K426" s="17"/>
      <c r="L426" s="12"/>
      <c r="M426" s="12"/>
    </row>
    <row r="427" customFormat="false" ht="1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1"/>
      <c r="I427" s="17"/>
      <c r="J427" s="11"/>
      <c r="K427" s="17"/>
      <c r="L427" s="12"/>
      <c r="M427" s="12"/>
    </row>
    <row r="428" customFormat="false" ht="1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1"/>
      <c r="I428" s="17"/>
      <c r="J428" s="11"/>
      <c r="K428" s="17"/>
      <c r="L428" s="12"/>
      <c r="M428" s="12"/>
    </row>
    <row r="429" customFormat="false" ht="1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1"/>
      <c r="I429" s="17"/>
      <c r="J429" s="11"/>
      <c r="K429" s="17"/>
      <c r="L429" s="12"/>
      <c r="M429" s="12"/>
    </row>
    <row r="430" customFormat="false" ht="1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1"/>
      <c r="I430" s="17"/>
      <c r="J430" s="11"/>
      <c r="K430" s="17"/>
      <c r="L430" s="12"/>
      <c r="M430" s="12"/>
    </row>
    <row r="431" customFormat="false" ht="1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1"/>
      <c r="I431" s="17"/>
      <c r="J431" s="11"/>
      <c r="K431" s="17"/>
      <c r="L431" s="12"/>
      <c r="M431" s="12"/>
    </row>
    <row r="432" customFormat="false" ht="1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1"/>
      <c r="I432" s="17"/>
      <c r="J432" s="11"/>
      <c r="K432" s="17"/>
      <c r="L432" s="12"/>
      <c r="M432" s="12"/>
    </row>
    <row r="433" customFormat="false" ht="1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1"/>
      <c r="I433" s="17"/>
      <c r="J433" s="11"/>
      <c r="K433" s="17"/>
      <c r="L433" s="12"/>
      <c r="M433" s="12"/>
    </row>
    <row r="434" customFormat="false" ht="1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1"/>
      <c r="I434" s="17"/>
      <c r="J434" s="11"/>
      <c r="K434" s="17"/>
      <c r="L434" s="12"/>
      <c r="M434" s="12"/>
    </row>
    <row r="435" customFormat="false" ht="1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1"/>
      <c r="I435" s="17"/>
      <c r="J435" s="11"/>
      <c r="K435" s="17"/>
      <c r="L435" s="12"/>
      <c r="M435" s="12"/>
    </row>
    <row r="436" customFormat="false" ht="1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1"/>
      <c r="I436" s="17"/>
      <c r="J436" s="11"/>
      <c r="K436" s="17"/>
      <c r="L436" s="12"/>
      <c r="M436" s="12"/>
    </row>
    <row r="437" customFormat="false" ht="1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1"/>
      <c r="I437" s="17"/>
      <c r="J437" s="11"/>
      <c r="K437" s="17"/>
      <c r="L437" s="12"/>
      <c r="M437" s="12"/>
    </row>
    <row r="438" customFormat="false" ht="1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1"/>
      <c r="I438" s="17"/>
      <c r="J438" s="11"/>
      <c r="K438" s="17"/>
      <c r="L438" s="12"/>
      <c r="M438" s="12"/>
    </row>
    <row r="439" customFormat="false" ht="1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1"/>
      <c r="I439" s="17"/>
      <c r="J439" s="11"/>
      <c r="K439" s="17"/>
      <c r="L439" s="12"/>
      <c r="M439" s="12"/>
    </row>
    <row r="440" customFormat="false" ht="1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1"/>
      <c r="I440" s="17"/>
      <c r="J440" s="11"/>
      <c r="K440" s="17"/>
      <c r="L440" s="12"/>
      <c r="M440" s="12"/>
    </row>
    <row r="441" customFormat="false" ht="1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1"/>
      <c r="I441" s="17"/>
      <c r="J441" s="11"/>
      <c r="K441" s="17"/>
      <c r="L441" s="12"/>
      <c r="M441" s="12"/>
    </row>
    <row r="442" customFormat="false" ht="1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1"/>
      <c r="I442" s="17"/>
      <c r="J442" s="11"/>
      <c r="K442" s="17"/>
      <c r="L442" s="12"/>
      <c r="M442" s="12"/>
    </row>
    <row r="443" customFormat="false" ht="1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1"/>
      <c r="I443" s="17"/>
      <c r="J443" s="11"/>
      <c r="K443" s="17"/>
      <c r="L443" s="12"/>
      <c r="M443" s="12"/>
    </row>
    <row r="444" customFormat="false" ht="1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1"/>
      <c r="I444" s="17"/>
      <c r="J444" s="11"/>
      <c r="K444" s="17"/>
      <c r="L444" s="12"/>
      <c r="M444" s="12"/>
    </row>
    <row r="445" customFormat="false" ht="1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1"/>
      <c r="I445" s="17"/>
      <c r="J445" s="11"/>
      <c r="K445" s="17"/>
      <c r="L445" s="12"/>
      <c r="M445" s="12"/>
    </row>
    <row r="446" customFormat="false" ht="1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1"/>
      <c r="I446" s="17"/>
      <c r="J446" s="11"/>
      <c r="K446" s="17"/>
      <c r="L446" s="12"/>
      <c r="M446" s="12"/>
    </row>
    <row r="447" customFormat="false" ht="1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1"/>
      <c r="I447" s="17"/>
      <c r="J447" s="11"/>
      <c r="K447" s="17"/>
      <c r="L447" s="12"/>
      <c r="M447" s="12"/>
    </row>
    <row r="448" customFormat="false" ht="1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1"/>
      <c r="I448" s="17"/>
      <c r="J448" s="11"/>
      <c r="K448" s="17"/>
      <c r="L448" s="12"/>
      <c r="M448" s="12"/>
    </row>
    <row r="449" customFormat="false" ht="1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1"/>
      <c r="I449" s="17"/>
      <c r="J449" s="11"/>
      <c r="K449" s="17"/>
      <c r="L449" s="12"/>
      <c r="M449" s="12"/>
    </row>
    <row r="450" customFormat="false" ht="1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1"/>
      <c r="I450" s="17"/>
      <c r="J450" s="11"/>
      <c r="K450" s="17"/>
      <c r="L450" s="12"/>
      <c r="M450" s="12"/>
    </row>
    <row r="451" customFormat="false" ht="1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1"/>
      <c r="I451" s="17"/>
      <c r="J451" s="11"/>
      <c r="K451" s="17"/>
      <c r="L451" s="12"/>
      <c r="M451" s="12"/>
    </row>
    <row r="452" customFormat="false" ht="1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1"/>
      <c r="I452" s="17"/>
      <c r="J452" s="11"/>
      <c r="K452" s="17"/>
      <c r="L452" s="12"/>
      <c r="M452" s="12"/>
    </row>
    <row r="453" customFormat="false" ht="1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1"/>
      <c r="I453" s="17"/>
      <c r="J453" s="11"/>
      <c r="K453" s="17"/>
      <c r="L453" s="12"/>
      <c r="M453" s="12"/>
    </row>
    <row r="454" customFormat="false" ht="1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1"/>
      <c r="I454" s="17"/>
      <c r="J454" s="11"/>
      <c r="K454" s="17"/>
      <c r="L454" s="12"/>
      <c r="M454" s="12"/>
    </row>
    <row r="455" customFormat="false" ht="1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1"/>
      <c r="I455" s="17"/>
      <c r="J455" s="11"/>
      <c r="K455" s="17"/>
      <c r="L455" s="12"/>
      <c r="M455" s="12"/>
    </row>
    <row r="456" customFormat="false" ht="1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1"/>
      <c r="I456" s="17"/>
      <c r="J456" s="11"/>
      <c r="K456" s="17"/>
      <c r="L456" s="12"/>
      <c r="M456" s="12"/>
    </row>
    <row r="457" customFormat="false" ht="1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1"/>
      <c r="I457" s="17"/>
      <c r="J457" s="11"/>
      <c r="K457" s="17"/>
      <c r="L457" s="12"/>
      <c r="M457" s="12"/>
    </row>
    <row r="458" customFormat="false" ht="1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1"/>
      <c r="I458" s="17"/>
      <c r="J458" s="11"/>
      <c r="K458" s="17"/>
      <c r="L458" s="12"/>
      <c r="M458" s="12"/>
    </row>
    <row r="459" customFormat="false" ht="1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1"/>
      <c r="I459" s="17"/>
      <c r="J459" s="11"/>
      <c r="K459" s="17"/>
      <c r="L459" s="12"/>
      <c r="M459" s="12"/>
    </row>
    <row r="460" customFormat="false" ht="1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1"/>
      <c r="I460" s="17"/>
      <c r="J460" s="11"/>
      <c r="K460" s="17"/>
      <c r="L460" s="12"/>
      <c r="M460" s="12"/>
    </row>
    <row r="461" customFormat="false" ht="1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1"/>
      <c r="I461" s="17"/>
      <c r="J461" s="11"/>
      <c r="K461" s="17"/>
      <c r="L461" s="12"/>
      <c r="M461" s="12"/>
    </row>
    <row r="462" customFormat="false" ht="1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1"/>
      <c r="I462" s="17"/>
      <c r="J462" s="11"/>
      <c r="K462" s="17"/>
      <c r="L462" s="12"/>
      <c r="M462" s="12"/>
    </row>
    <row r="463" customFormat="false" ht="1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1"/>
      <c r="I463" s="17"/>
      <c r="J463" s="11"/>
      <c r="K463" s="17"/>
      <c r="L463" s="12"/>
      <c r="M463" s="12"/>
    </row>
    <row r="464" customFormat="false" ht="1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1"/>
      <c r="I464" s="17"/>
      <c r="J464" s="11"/>
      <c r="K464" s="17"/>
      <c r="L464" s="12"/>
      <c r="M464" s="12"/>
    </row>
    <row r="465" customFormat="false" ht="1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1"/>
      <c r="I465" s="17"/>
      <c r="J465" s="11"/>
      <c r="K465" s="17"/>
      <c r="L465" s="12"/>
      <c r="M465" s="12"/>
    </row>
    <row r="466" customFormat="false" ht="1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1"/>
      <c r="I466" s="17"/>
      <c r="J466" s="11"/>
      <c r="K466" s="17"/>
      <c r="L466" s="12"/>
      <c r="M466" s="12"/>
    </row>
    <row r="467" customFormat="false" ht="1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1"/>
      <c r="I467" s="17"/>
      <c r="J467" s="11"/>
      <c r="K467" s="17"/>
      <c r="L467" s="12"/>
      <c r="M467" s="12"/>
    </row>
    <row r="468" customFormat="false" ht="1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1"/>
      <c r="I468" s="17"/>
      <c r="J468" s="11"/>
      <c r="K468" s="17"/>
      <c r="L468" s="12"/>
      <c r="M468" s="12"/>
    </row>
    <row r="469" customFormat="false" ht="1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1"/>
      <c r="I469" s="17"/>
      <c r="J469" s="11"/>
      <c r="K469" s="17"/>
      <c r="L469" s="12"/>
      <c r="M469" s="12"/>
    </row>
    <row r="470" customFormat="false" ht="1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1"/>
      <c r="I470" s="17"/>
      <c r="J470" s="11"/>
      <c r="K470" s="17"/>
      <c r="L470" s="12"/>
      <c r="M470" s="12"/>
    </row>
    <row r="471" customFormat="false" ht="1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1"/>
      <c r="I471" s="17"/>
      <c r="J471" s="11"/>
      <c r="K471" s="17"/>
      <c r="L471" s="12"/>
      <c r="M471" s="12"/>
    </row>
    <row r="472" customFormat="false" ht="1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1"/>
      <c r="I472" s="17"/>
      <c r="J472" s="11"/>
      <c r="K472" s="17"/>
      <c r="L472" s="12"/>
      <c r="M472" s="12"/>
    </row>
    <row r="473" customFormat="false" ht="1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1"/>
      <c r="I473" s="17"/>
      <c r="J473" s="11"/>
      <c r="K473" s="17"/>
      <c r="L473" s="12"/>
      <c r="M473" s="12"/>
    </row>
    <row r="474" customFormat="false" ht="1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1"/>
      <c r="I474" s="17"/>
      <c r="J474" s="11"/>
      <c r="K474" s="17"/>
      <c r="L474" s="12"/>
      <c r="M474" s="12"/>
    </row>
    <row r="475" customFormat="false" ht="1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1"/>
      <c r="I475" s="17"/>
      <c r="J475" s="11"/>
      <c r="K475" s="17"/>
      <c r="L475" s="12"/>
      <c r="M475" s="12"/>
    </row>
    <row r="476" customFormat="false" ht="1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1"/>
      <c r="I476" s="17"/>
      <c r="J476" s="11"/>
      <c r="K476" s="17"/>
      <c r="L476" s="12"/>
      <c r="M476" s="12"/>
    </row>
    <row r="477" customFormat="false" ht="1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1"/>
      <c r="I477" s="17"/>
      <c r="J477" s="11"/>
      <c r="K477" s="17"/>
      <c r="L477" s="12"/>
      <c r="M477" s="12"/>
    </row>
    <row r="478" customFormat="false" ht="1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1"/>
      <c r="I478" s="17"/>
      <c r="J478" s="11"/>
      <c r="K478" s="17"/>
      <c r="L478" s="12"/>
      <c r="M478" s="12"/>
    </row>
    <row r="479" customFormat="false" ht="1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1"/>
      <c r="I479" s="17"/>
      <c r="J479" s="11"/>
      <c r="K479" s="17"/>
      <c r="L479" s="12"/>
      <c r="M479" s="12"/>
    </row>
    <row r="480" customFormat="false" ht="1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1"/>
      <c r="I480" s="17"/>
      <c r="J480" s="11"/>
      <c r="K480" s="17"/>
      <c r="L480" s="12"/>
      <c r="M480" s="12"/>
    </row>
    <row r="481" customFormat="false" ht="1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1"/>
      <c r="I481" s="17"/>
      <c r="J481" s="11"/>
      <c r="K481" s="17"/>
      <c r="L481" s="12"/>
      <c r="M481" s="12"/>
    </row>
    <row r="482" customFormat="false" ht="1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1"/>
      <c r="I482" s="17"/>
      <c r="J482" s="11"/>
      <c r="K482" s="17"/>
      <c r="L482" s="12"/>
      <c r="M482" s="12"/>
    </row>
    <row r="483" customFormat="false" ht="1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1"/>
      <c r="I483" s="17"/>
      <c r="J483" s="11"/>
      <c r="K483" s="17"/>
      <c r="L483" s="12"/>
      <c r="M483" s="12"/>
    </row>
    <row r="484" customFormat="false" ht="1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1"/>
      <c r="I484" s="17"/>
      <c r="J484" s="11"/>
      <c r="K484" s="17"/>
      <c r="L484" s="12"/>
      <c r="M484" s="12"/>
    </row>
    <row r="485" customFormat="false" ht="1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1"/>
      <c r="I485" s="17"/>
      <c r="J485" s="11"/>
      <c r="K485" s="17"/>
      <c r="L485" s="12"/>
      <c r="M485" s="12"/>
    </row>
    <row r="486" customFormat="false" ht="1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1"/>
      <c r="I486" s="17"/>
      <c r="J486" s="11"/>
      <c r="K486" s="17"/>
      <c r="L486" s="12"/>
      <c r="M486" s="12"/>
    </row>
    <row r="487" customFormat="false" ht="1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1"/>
      <c r="I487" s="17"/>
      <c r="J487" s="11"/>
      <c r="K487" s="17"/>
      <c r="L487" s="12"/>
      <c r="M487" s="12"/>
    </row>
    <row r="488" customFormat="false" ht="1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1"/>
      <c r="I488" s="17"/>
      <c r="J488" s="11"/>
      <c r="K488" s="17"/>
      <c r="L488" s="12"/>
      <c r="M488" s="12"/>
    </row>
    <row r="489" customFormat="false" ht="1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1"/>
      <c r="I489" s="17"/>
      <c r="J489" s="11"/>
      <c r="K489" s="17"/>
      <c r="L489" s="12"/>
      <c r="M489" s="12"/>
    </row>
    <row r="490" customFormat="false" ht="1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1"/>
      <c r="I490" s="17"/>
      <c r="J490" s="11"/>
      <c r="K490" s="17"/>
      <c r="L490" s="12"/>
      <c r="M490" s="12"/>
    </row>
    <row r="491" customFormat="false" ht="1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1"/>
      <c r="I491" s="17"/>
      <c r="J491" s="11"/>
      <c r="K491" s="17"/>
      <c r="L491" s="12"/>
      <c r="M491" s="12"/>
    </row>
    <row r="492" customFormat="false" ht="1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1"/>
      <c r="I492" s="17"/>
      <c r="J492" s="11"/>
      <c r="K492" s="17"/>
      <c r="L492" s="12"/>
      <c r="M492" s="12"/>
    </row>
    <row r="493" customFormat="false" ht="1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1"/>
      <c r="I493" s="17"/>
      <c r="J493" s="11"/>
      <c r="K493" s="17"/>
      <c r="L493" s="12"/>
      <c r="M493" s="12"/>
    </row>
    <row r="494" customFormat="false" ht="1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1"/>
      <c r="I494" s="17"/>
      <c r="J494" s="11"/>
      <c r="K494" s="17"/>
      <c r="L494" s="12"/>
      <c r="M494" s="12"/>
    </row>
    <row r="495" customFormat="false" ht="1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1"/>
      <c r="I495" s="17"/>
      <c r="J495" s="11"/>
      <c r="K495" s="17"/>
      <c r="L495" s="12"/>
      <c r="M495" s="12"/>
    </row>
    <row r="496" customFormat="false" ht="1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1"/>
      <c r="I496" s="17"/>
      <c r="J496" s="11"/>
      <c r="K496" s="17"/>
      <c r="L496" s="12"/>
      <c r="M496" s="12"/>
    </row>
    <row r="497" customFormat="false" ht="1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1"/>
      <c r="I497" s="17"/>
      <c r="J497" s="11"/>
      <c r="K497" s="17"/>
      <c r="L497" s="12"/>
      <c r="M497" s="12"/>
    </row>
    <row r="498" customFormat="false" ht="1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1"/>
      <c r="I498" s="17"/>
      <c r="J498" s="11"/>
      <c r="K498" s="17"/>
      <c r="L498" s="12"/>
      <c r="M498" s="12"/>
    </row>
    <row r="499" customFormat="false" ht="1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1"/>
      <c r="I499" s="17"/>
      <c r="J499" s="11"/>
      <c r="K499" s="17"/>
      <c r="L499" s="12"/>
      <c r="M499" s="12"/>
    </row>
    <row r="500" customFormat="false" ht="1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1"/>
      <c r="I500" s="17"/>
      <c r="J500" s="11"/>
      <c r="K500" s="17"/>
      <c r="L500" s="12"/>
      <c r="M500" s="12"/>
    </row>
    <row r="501" customFormat="false" ht="1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1"/>
      <c r="I501" s="17"/>
      <c r="J501" s="11"/>
      <c r="K501" s="17"/>
      <c r="L501" s="12"/>
      <c r="M501" s="12"/>
    </row>
  </sheetData>
  <conditionalFormatting sqref="A2:M501">
    <cfRule type="expression" priority="2" aboveAverage="0" equalAverage="0" bottom="0" percent="0" rank="0" text="" dxfId="3">
      <formula>$L2="Awaiting Billing"</formula>
    </cfRule>
    <cfRule type="expression" priority="3" aboveAverage="0" equalAverage="0" bottom="0" percent="0" rank="0" text="" dxfId="3">
      <formula>$L2="Remittance"</formula>
    </cfRule>
    <cfRule type="expression" priority="4" aboveAverage="0" equalAverage="0" bottom="0" percent="0" rank="0" text="" dxfId="2">
      <formula>$L2="Billed"</formula>
    </cfRule>
  </conditionalFormatting>
  <dataValidations count="2">
    <dataValidation allowBlank="true" errorStyle="stop" operator="between" showDropDown="false" showErrorMessage="false" showInputMessage="false" sqref="F2:F501" type="list">
      <formula1>"NS01,NS02,NS03,NS04,NS05,NS06"</formula1>
      <formula2>0</formula2>
    </dataValidation>
    <dataValidation allowBlank="true" errorStyle="stop" operator="between" showDropDown="false" showErrorMessage="false" showInputMessage="false" sqref="L2:L501" type="list">
      <formula1>"Awaiting Billing,Billed,Remittance"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2" t="s">
        <v>6</v>
      </c>
    </row>
    <row r="2" customFormat="false" ht="15" hidden="false" customHeight="true" outlineLevel="0" collapsed="false">
      <c r="A2" s="3" t="s">
        <v>141</v>
      </c>
    </row>
    <row r="4" customFormat="false" ht="15" hidden="false" customHeight="true" outlineLevel="0" collapsed="false">
      <c r="A4" s="9" t="s">
        <v>142</v>
      </c>
      <c r="B4" s="9" t="s">
        <v>143</v>
      </c>
      <c r="C4" s="9"/>
      <c r="D4" s="9" t="s">
        <v>52</v>
      </c>
      <c r="E4" s="9"/>
      <c r="F4" s="9" t="s">
        <v>46</v>
      </c>
      <c r="G4" s="9"/>
      <c r="H4" s="9" t="s">
        <v>119</v>
      </c>
      <c r="I4" s="9"/>
    </row>
    <row r="5" customFormat="false" ht="15" hidden="false" customHeight="true" outlineLevel="0" collapsed="false">
      <c r="A5" s="9"/>
      <c r="B5" s="9" t="s">
        <v>144</v>
      </c>
      <c r="C5" s="9" t="s">
        <v>145</v>
      </c>
      <c r="D5" s="9" t="s">
        <v>144</v>
      </c>
      <c r="E5" s="9" t="s">
        <v>145</v>
      </c>
      <c r="F5" s="9" t="s">
        <v>144</v>
      </c>
      <c r="G5" s="9" t="s">
        <v>145</v>
      </c>
      <c r="H5" s="9" t="s">
        <v>144</v>
      </c>
      <c r="I5" s="9" t="s">
        <v>145</v>
      </c>
    </row>
    <row r="6" customFormat="false" ht="15" hidden="false" customHeight="true" outlineLevel="0" collapsed="false">
      <c r="A6" s="12" t="s">
        <v>146</v>
      </c>
      <c r="B6" s="17" t="n">
        <f aca="false">SUMPRODUCT(('Billing Log'!$H$2:$H$501&lt;&gt;"")*(MONTH('Billing Log'!$H$2:$H$501)=1)*(('Billing Log'!$F$2:$F$501="NS01")+('Billing Log'!$F$2:$F$501="NS02")+('Billing Log'!$F$2:$F$501="NS03"))*'Billing Log'!$I$2:$I$501)</f>
        <v>0</v>
      </c>
      <c r="C6" s="17" t="n">
        <f aca="false">SUMPRODUCT(('Billing Log'!$J$2:$J$501&lt;&gt;"")*(MONTH('Billing Log'!$J$2:$J$501)=1)*(('Billing Log'!$F$2:$F$501="NS01")+('Billing Log'!$F$2:$F$501="NS02")+('Billing Log'!$F$2:$F$501="NS03"))*'Billing Log'!$K$2:$K$501)</f>
        <v>0</v>
      </c>
      <c r="D6" s="17" t="n">
        <f aca="false">SUMPRODUCT(('Billing Log'!$H$2:$H$501&lt;&gt;"")*(MONTH('Billing Log'!$H$2:$H$501)=1)*('Billing Log'!$F$2:$F$501="NS04")*'Billing Log'!$I$2:$I$501)</f>
        <v>95</v>
      </c>
      <c r="E6" s="17" t="n">
        <f aca="false">SUMPRODUCT(('Billing Log'!$J$2:$J$501&lt;&gt;"")*(MONTH('Billing Log'!$J$2:$J$501)=1)*('Billing Log'!$F$2:$F$501="NS04")*'Billing Log'!$K$2:$K$501)</f>
        <v>95</v>
      </c>
      <c r="F6" s="17" t="n">
        <f aca="false">SUMPRODUCT(('Billing Log'!$H$2:$H$501&lt;&gt;"")*(MONTH('Billing Log'!$H$2:$H$501)=1)*('Billing Log'!$F$2:$F$501="NS05")*'Billing Log'!$I$2:$I$501)</f>
        <v>672</v>
      </c>
      <c r="G6" s="17" t="n">
        <f aca="false">SUMPRODUCT(('Billing Log'!$J$2:$J$501&lt;&gt;"")*(MONTH('Billing Log'!$J$2:$J$501)=1)*('Billing Log'!$F$2:$F$501="NS05")*'Billing Log'!$K$2:$K$501)</f>
        <v>192</v>
      </c>
      <c r="H6" s="17" t="n">
        <f aca="false">SUMPRODUCT(('Billing Log'!$H$2:$H$501&lt;&gt;"")*(MONTH('Billing Log'!$H$2:$H$501)=1)*('Billing Log'!$F$2:$F$501="NS06")*'Billing Log'!$I$2:$I$501)</f>
        <v>170</v>
      </c>
      <c r="I6" s="17" t="n">
        <f aca="false">SUMPRODUCT(('Billing Log'!$J$2:$J$501&lt;&gt;"")*(MONTH('Billing Log'!$J$2:$J$501)=1)*('Billing Log'!$F$2:$F$501="NS06")*'Billing Log'!$K$2:$K$501)</f>
        <v>85</v>
      </c>
    </row>
    <row r="7" customFormat="false" ht="15" hidden="false" customHeight="true" outlineLevel="0" collapsed="false">
      <c r="A7" s="12" t="s">
        <v>147</v>
      </c>
      <c r="B7" s="17" t="n">
        <f aca="false">SUMPRODUCT(('Billing Log'!$H$2:$H$501&lt;&gt;"")*(MONTH('Billing Log'!$H$2:$H$501)=2)*(('Billing Log'!$F$2:$F$501="NS01")+('Billing Log'!$F$2:$F$501="NS02")+('Billing Log'!$F$2:$F$501="NS03"))*'Billing Log'!$I$2:$I$501)</f>
        <v>0</v>
      </c>
      <c r="C7" s="17" t="n">
        <f aca="false">SUMPRODUCT(('Billing Log'!$J$2:$J$501&lt;&gt;"")*(MONTH('Billing Log'!$J$2:$J$501)=2)*(('Billing Log'!$F$2:$F$501="NS01")+('Billing Log'!$F$2:$F$501="NS02")+('Billing Log'!$F$2:$F$501="NS03"))*'Billing Log'!$K$2:$K$501)</f>
        <v>0</v>
      </c>
      <c r="D7" s="17" t="n">
        <f aca="false">SUMPRODUCT(('Billing Log'!$H$2:$H$501&lt;&gt;"")*(MONTH('Billing Log'!$H$2:$H$501)=2)*('Billing Log'!$F$2:$F$501="NS04")*'Billing Log'!$I$2:$I$501)</f>
        <v>95</v>
      </c>
      <c r="E7" s="17" t="n">
        <f aca="false">SUMPRODUCT(('Billing Log'!$J$2:$J$501&lt;&gt;"")*(MONTH('Billing Log'!$J$2:$J$501)=2)*('Billing Log'!$F$2:$F$501="NS04")*'Billing Log'!$K$2:$K$501)</f>
        <v>95</v>
      </c>
      <c r="F7" s="17" t="n">
        <f aca="false">SUMPRODUCT(('Billing Log'!$H$2:$H$501&lt;&gt;"")*(MONTH('Billing Log'!$H$2:$H$501)=2)*('Billing Log'!$F$2:$F$501="NS05")*'Billing Log'!$I$2:$I$501)</f>
        <v>816</v>
      </c>
      <c r="G7" s="17" t="n">
        <f aca="false">SUMPRODUCT(('Billing Log'!$J$2:$J$501&lt;&gt;"")*(MONTH('Billing Log'!$J$2:$J$501)=2)*('Billing Log'!$F$2:$F$501="NS05")*'Billing Log'!$K$2:$K$501)</f>
        <v>672</v>
      </c>
      <c r="H7" s="17" t="n">
        <f aca="false">SUMPRODUCT(('Billing Log'!$H$2:$H$501&lt;&gt;"")*(MONTH('Billing Log'!$H$2:$H$501)=2)*('Billing Log'!$F$2:$F$501="NS06")*'Billing Log'!$I$2:$I$501)</f>
        <v>170</v>
      </c>
      <c r="I7" s="17" t="n">
        <f aca="false">SUMPRODUCT(('Billing Log'!$J$2:$J$501&lt;&gt;"")*(MONTH('Billing Log'!$J$2:$J$501)=2)*('Billing Log'!$F$2:$F$501="NS06")*'Billing Log'!$K$2:$K$501)</f>
        <v>170</v>
      </c>
    </row>
    <row r="8" customFormat="false" ht="15" hidden="false" customHeight="true" outlineLevel="0" collapsed="false">
      <c r="A8" s="12" t="s">
        <v>148</v>
      </c>
      <c r="B8" s="17" t="n">
        <f aca="false">SUMPRODUCT(('Billing Log'!$H$2:$H$501&lt;&gt;"")*(MONTH('Billing Log'!$H$2:$H$501)=3)*(('Billing Log'!$F$2:$F$501="NS01")+('Billing Log'!$F$2:$F$501="NS02")+('Billing Log'!$F$2:$F$501="NS03"))*'Billing Log'!$I$2:$I$501)</f>
        <v>0</v>
      </c>
      <c r="C8" s="17" t="n">
        <f aca="false">SUMPRODUCT(('Billing Log'!$J$2:$J$501&lt;&gt;"")*(MONTH('Billing Log'!$J$2:$J$501)=3)*(('Billing Log'!$F$2:$F$501="NS01")+('Billing Log'!$F$2:$F$501="NS02")+('Billing Log'!$F$2:$F$501="NS03"))*'Billing Log'!$K$2:$K$501)</f>
        <v>0</v>
      </c>
      <c r="D8" s="17" t="n">
        <f aca="false">SUMPRODUCT(('Billing Log'!$H$2:$H$501&lt;&gt;"")*(MONTH('Billing Log'!$H$2:$H$501)=3)*('Billing Log'!$F$2:$F$501="NS04")*'Billing Log'!$I$2:$I$501)</f>
        <v>285</v>
      </c>
      <c r="E8" s="17" t="n">
        <f aca="false">SUMPRODUCT(('Billing Log'!$J$2:$J$501&lt;&gt;"")*(MONTH('Billing Log'!$J$2:$J$501)=3)*('Billing Log'!$F$2:$F$501="NS04")*'Billing Log'!$K$2:$K$501)</f>
        <v>190</v>
      </c>
      <c r="F8" s="17" t="n">
        <f aca="false">SUMPRODUCT(('Billing Log'!$H$2:$H$501&lt;&gt;"")*(MONTH('Billing Log'!$H$2:$H$501)=3)*('Billing Log'!$F$2:$F$501="NS05")*'Billing Log'!$I$2:$I$501)</f>
        <v>816</v>
      </c>
      <c r="G8" s="17" t="n">
        <f aca="false">SUMPRODUCT(('Billing Log'!$J$2:$J$501&lt;&gt;"")*(MONTH('Billing Log'!$J$2:$J$501)=3)*('Billing Log'!$F$2:$F$501="NS05")*'Billing Log'!$K$2:$K$501)</f>
        <v>816</v>
      </c>
      <c r="H8" s="17" t="n">
        <f aca="false">SUMPRODUCT(('Billing Log'!$H$2:$H$501&lt;&gt;"")*(MONTH('Billing Log'!$H$2:$H$501)=3)*('Billing Log'!$F$2:$F$501="NS06")*'Billing Log'!$I$2:$I$501)</f>
        <v>170</v>
      </c>
      <c r="I8" s="17" t="n">
        <f aca="false">SUMPRODUCT(('Billing Log'!$J$2:$J$501&lt;&gt;"")*(MONTH('Billing Log'!$J$2:$J$501)=3)*('Billing Log'!$F$2:$F$501="NS06")*'Billing Log'!$K$2:$K$501)</f>
        <v>170</v>
      </c>
    </row>
    <row r="9" customFormat="false" ht="15" hidden="false" customHeight="true" outlineLevel="0" collapsed="false">
      <c r="A9" s="12" t="s">
        <v>149</v>
      </c>
      <c r="B9" s="17" t="n">
        <f aca="false">SUMPRODUCT(('Billing Log'!$H$2:$H$501&lt;&gt;"")*(MONTH('Billing Log'!$H$2:$H$501)=4)*(('Billing Log'!$F$2:$F$501="NS01")+('Billing Log'!$F$2:$F$501="NS02")+('Billing Log'!$F$2:$F$501="NS03"))*'Billing Log'!$I$2:$I$501)</f>
        <v>0</v>
      </c>
      <c r="C9" s="17" t="n">
        <f aca="false">SUMPRODUCT(('Billing Log'!$J$2:$J$501&lt;&gt;"")*(MONTH('Billing Log'!$J$2:$J$501)=4)*(('Billing Log'!$F$2:$F$501="NS01")+('Billing Log'!$F$2:$F$501="NS02")+('Billing Log'!$F$2:$F$501="NS03"))*'Billing Log'!$K$2:$K$501)</f>
        <v>0</v>
      </c>
      <c r="D9" s="17" t="n">
        <f aca="false">SUMPRODUCT(('Billing Log'!$H$2:$H$501&lt;&gt;"")*(MONTH('Billing Log'!$H$2:$H$501)=4)*('Billing Log'!$F$2:$F$501="NS04")*'Billing Log'!$I$2:$I$501)</f>
        <v>665</v>
      </c>
      <c r="E9" s="17" t="n">
        <f aca="false">SUMPRODUCT(('Billing Log'!$J$2:$J$501&lt;&gt;"")*(MONTH('Billing Log'!$J$2:$J$501)=4)*('Billing Log'!$F$2:$F$501="NS04")*'Billing Log'!$K$2:$K$501)</f>
        <v>475</v>
      </c>
      <c r="F9" s="17" t="n">
        <f aca="false">SUMPRODUCT(('Billing Log'!$H$2:$H$501&lt;&gt;"")*(MONTH('Billing Log'!$H$2:$H$501)=4)*('Billing Log'!$F$2:$F$501="NS05")*'Billing Log'!$I$2:$I$501)</f>
        <v>816</v>
      </c>
      <c r="G9" s="17" t="n">
        <f aca="false">SUMPRODUCT(('Billing Log'!$J$2:$J$501&lt;&gt;"")*(MONTH('Billing Log'!$J$2:$J$501)=4)*('Billing Log'!$F$2:$F$501="NS05")*'Billing Log'!$K$2:$K$501)</f>
        <v>816</v>
      </c>
      <c r="H9" s="17" t="n">
        <f aca="false">SUMPRODUCT(('Billing Log'!$H$2:$H$501&lt;&gt;"")*(MONTH('Billing Log'!$H$2:$H$501)=4)*('Billing Log'!$F$2:$F$501="NS06")*'Billing Log'!$I$2:$I$501)</f>
        <v>255</v>
      </c>
      <c r="I9" s="17" t="n">
        <f aca="false">SUMPRODUCT(('Billing Log'!$J$2:$J$501&lt;&gt;"")*(MONTH('Billing Log'!$J$2:$J$501)=4)*('Billing Log'!$F$2:$F$501="NS06")*'Billing Log'!$K$2:$K$501)</f>
        <v>255</v>
      </c>
    </row>
    <row r="10" customFormat="false" ht="15" hidden="false" customHeight="true" outlineLevel="0" collapsed="false">
      <c r="A10" s="12" t="s">
        <v>150</v>
      </c>
      <c r="B10" s="17" t="n">
        <f aca="false">SUMPRODUCT(('Billing Log'!$H$2:$H$501&lt;&gt;"")*(MONTH('Billing Log'!$H$2:$H$501)=5)*(('Billing Log'!$F$2:$F$501="NS01")+('Billing Log'!$F$2:$F$501="NS02")+('Billing Log'!$F$2:$F$501="NS03"))*'Billing Log'!$I$2:$I$501)</f>
        <v>1850</v>
      </c>
      <c r="C10" s="17" t="n">
        <f aca="false">SUMPRODUCT(('Billing Log'!$J$2:$J$501&lt;&gt;"")*(MONTH('Billing Log'!$J$2:$J$501)=5)*(('Billing Log'!$F$2:$F$501="NS01")+('Billing Log'!$F$2:$F$501="NS02")+('Billing Log'!$F$2:$F$501="NS03"))*'Billing Log'!$K$2:$K$501)</f>
        <v>0</v>
      </c>
      <c r="D10" s="17" t="n">
        <f aca="false">SUMPRODUCT(('Billing Log'!$H$2:$H$501&lt;&gt;"")*(MONTH('Billing Log'!$H$2:$H$501)=5)*('Billing Log'!$F$2:$F$501="NS04")*'Billing Log'!$I$2:$I$501)</f>
        <v>285</v>
      </c>
      <c r="E10" s="17" t="n">
        <f aca="false">SUMPRODUCT(('Billing Log'!$J$2:$J$501&lt;&gt;"")*(MONTH('Billing Log'!$J$2:$J$501)=5)*('Billing Log'!$F$2:$F$501="NS04")*'Billing Log'!$K$2:$K$501)</f>
        <v>380</v>
      </c>
      <c r="F10" s="17" t="n">
        <f aca="false">SUMPRODUCT(('Billing Log'!$H$2:$H$501&lt;&gt;"")*(MONTH('Billing Log'!$H$2:$H$501)=5)*('Billing Log'!$F$2:$F$501="NS05")*'Billing Log'!$I$2:$I$501)</f>
        <v>816</v>
      </c>
      <c r="G10" s="17" t="n">
        <f aca="false">SUMPRODUCT(('Billing Log'!$J$2:$J$501&lt;&gt;"")*(MONTH('Billing Log'!$J$2:$J$501)=5)*('Billing Log'!$F$2:$F$501="NS05")*'Billing Log'!$K$2:$K$501)</f>
        <v>816</v>
      </c>
      <c r="H10" s="17" t="n">
        <f aca="false">SUMPRODUCT(('Billing Log'!$H$2:$H$501&lt;&gt;"")*(MONTH('Billing Log'!$H$2:$H$501)=5)*('Billing Log'!$F$2:$F$501="NS06")*'Billing Log'!$I$2:$I$501)</f>
        <v>85</v>
      </c>
      <c r="I10" s="17" t="n">
        <f aca="false">SUMPRODUCT(('Billing Log'!$J$2:$J$501&lt;&gt;"")*(MONTH('Billing Log'!$J$2:$J$501)=5)*('Billing Log'!$F$2:$F$501="NS06")*'Billing Log'!$K$2:$K$501)</f>
        <v>170</v>
      </c>
    </row>
    <row r="11" customFormat="false" ht="15" hidden="false" customHeight="true" outlineLevel="0" collapsed="false">
      <c r="A11" s="12" t="s">
        <v>151</v>
      </c>
      <c r="B11" s="17" t="n">
        <f aca="false">SUMPRODUCT(('Billing Log'!$H$2:$H$501&lt;&gt;"")*(MONTH('Billing Log'!$H$2:$H$501)=6)*(('Billing Log'!$F$2:$F$501="NS01")+('Billing Log'!$F$2:$F$501="NS02")+('Billing Log'!$F$2:$F$501="NS03"))*'Billing Log'!$I$2:$I$501)</f>
        <v>3700</v>
      </c>
      <c r="C11" s="17" t="n">
        <f aca="false">SUMPRODUCT(('Billing Log'!$J$2:$J$501&lt;&gt;"")*(MONTH('Billing Log'!$J$2:$J$501)=6)*(('Billing Log'!$F$2:$F$501="NS01")+('Billing Log'!$F$2:$F$501="NS02")+('Billing Log'!$F$2:$F$501="NS03"))*'Billing Log'!$K$2:$K$501)</f>
        <v>4350</v>
      </c>
      <c r="D11" s="17" t="n">
        <f aca="false">SUMPRODUCT(('Billing Log'!$H$2:$H$501&lt;&gt;"")*(MONTH('Billing Log'!$H$2:$H$501)=6)*('Billing Log'!$F$2:$F$501="NS04")*'Billing Log'!$I$2:$I$501)</f>
        <v>285</v>
      </c>
      <c r="E11" s="17" t="n">
        <f aca="false">SUMPRODUCT(('Billing Log'!$J$2:$J$501&lt;&gt;"")*(MONTH('Billing Log'!$J$2:$J$501)=6)*('Billing Log'!$F$2:$F$501="NS04")*'Billing Log'!$K$2:$K$501)</f>
        <v>0</v>
      </c>
      <c r="F11" s="17" t="n">
        <f aca="false">SUMPRODUCT(('Billing Log'!$H$2:$H$501&lt;&gt;"")*(MONTH('Billing Log'!$H$2:$H$501)=6)*('Billing Log'!$F$2:$F$501="NS05")*'Billing Log'!$I$2:$I$501)</f>
        <v>672</v>
      </c>
      <c r="G11" s="17" t="n">
        <f aca="false">SUMPRODUCT(('Billing Log'!$J$2:$J$501&lt;&gt;"")*(MONTH('Billing Log'!$J$2:$J$501)=6)*('Billing Log'!$F$2:$F$501="NS05")*'Billing Log'!$K$2:$K$501)</f>
        <v>816</v>
      </c>
      <c r="H11" s="17" t="n">
        <f aca="false">SUMPRODUCT(('Billing Log'!$H$2:$H$501&lt;&gt;"")*(MONTH('Billing Log'!$H$2:$H$501)=6)*('Billing Log'!$F$2:$F$501="NS06")*'Billing Log'!$I$2:$I$501)</f>
        <v>85</v>
      </c>
      <c r="I11" s="17" t="n">
        <f aca="false">SUMPRODUCT(('Billing Log'!$J$2:$J$501&lt;&gt;"")*(MONTH('Billing Log'!$J$2:$J$501)=6)*('Billing Log'!$F$2:$F$501="NS06")*'Billing Log'!$K$2:$K$501)</f>
        <v>0</v>
      </c>
    </row>
    <row r="12" customFormat="false" ht="15" hidden="false" customHeight="true" outlineLevel="0" collapsed="false">
      <c r="A12" s="12" t="s">
        <v>152</v>
      </c>
      <c r="B12" s="17" t="n">
        <f aca="false">SUMPRODUCT(('Billing Log'!$H$2:$H$501&lt;&gt;"")*(MONTH('Billing Log'!$H$2:$H$501)=7)*(('Billing Log'!$F$2:$F$501="NS01")+('Billing Log'!$F$2:$F$501="NS02")+('Billing Log'!$F$2:$F$501="NS03"))*'Billing Log'!$I$2:$I$501)</f>
        <v>0</v>
      </c>
      <c r="C12" s="17" t="n">
        <f aca="false">SUMPRODUCT(('Billing Log'!$J$2:$J$501&lt;&gt;"")*(MONTH('Billing Log'!$J$2:$J$501)=7)*(('Billing Log'!$F$2:$F$501="NS01")+('Billing Log'!$F$2:$F$501="NS02")+('Billing Log'!$F$2:$F$501="NS03"))*'Billing Log'!$K$2:$K$501)</f>
        <v>0</v>
      </c>
      <c r="D12" s="17" t="n">
        <f aca="false">SUMPRODUCT(('Billing Log'!$H$2:$H$501&lt;&gt;"")*(MONTH('Billing Log'!$H$2:$H$501)=7)*('Billing Log'!$F$2:$F$501="NS04")*'Billing Log'!$I$2:$I$501)</f>
        <v>95</v>
      </c>
      <c r="E12" s="17" t="n">
        <f aca="false">SUMPRODUCT(('Billing Log'!$J$2:$J$501&lt;&gt;"")*(MONTH('Billing Log'!$J$2:$J$501)=7)*('Billing Log'!$F$2:$F$501="NS04")*'Billing Log'!$K$2:$K$501)</f>
        <v>95</v>
      </c>
      <c r="F12" s="17" t="n">
        <f aca="false">SUMPRODUCT(('Billing Log'!$H$2:$H$501&lt;&gt;"")*(MONTH('Billing Log'!$H$2:$H$501)=7)*('Billing Log'!$F$2:$F$501="NS05")*'Billing Log'!$I$2:$I$501)</f>
        <v>0</v>
      </c>
      <c r="G12" s="17" t="n">
        <f aca="false">SUMPRODUCT(('Billing Log'!$J$2:$J$501&lt;&gt;"")*(MONTH('Billing Log'!$J$2:$J$501)=7)*('Billing Log'!$F$2:$F$501="NS05")*'Billing Log'!$K$2:$K$501)</f>
        <v>672</v>
      </c>
      <c r="H12" s="17" t="n">
        <f aca="false">SUMPRODUCT(('Billing Log'!$H$2:$H$501&lt;&gt;"")*(MONTH('Billing Log'!$H$2:$H$501)=7)*('Billing Log'!$F$2:$F$501="NS06")*'Billing Log'!$I$2:$I$501)</f>
        <v>0</v>
      </c>
      <c r="I12" s="17" t="n">
        <f aca="false">SUMPRODUCT(('Billing Log'!$J$2:$J$501&lt;&gt;"")*(MONTH('Billing Log'!$J$2:$J$501)=7)*('Billing Log'!$F$2:$F$501="NS06")*'Billing Log'!$K$2:$K$501)</f>
        <v>0</v>
      </c>
    </row>
    <row r="13" customFormat="false" ht="15" hidden="false" customHeight="true" outlineLevel="0" collapsed="false">
      <c r="A13" s="12" t="s">
        <v>153</v>
      </c>
      <c r="B13" s="17" t="n">
        <f aca="false">SUMPRODUCT(('Billing Log'!$H$2:$H$501&lt;&gt;"")*(MONTH('Billing Log'!$H$2:$H$501)=8)*(('Billing Log'!$F$2:$F$501="NS01")+('Billing Log'!$F$2:$F$501="NS02")+('Billing Log'!$F$2:$F$501="NS03"))*'Billing Log'!$I$2:$I$501)</f>
        <v>0</v>
      </c>
      <c r="C13" s="17" t="n">
        <f aca="false">SUMPRODUCT(('Billing Log'!$J$2:$J$501&lt;&gt;"")*(MONTH('Billing Log'!$J$2:$J$501)=8)*(('Billing Log'!$F$2:$F$501="NS01")+('Billing Log'!$F$2:$F$501="NS02")+('Billing Log'!$F$2:$F$501="NS03"))*'Billing Log'!$K$2:$K$501)</f>
        <v>0</v>
      </c>
      <c r="D13" s="17" t="n">
        <f aca="false">SUMPRODUCT(('Billing Log'!$H$2:$H$501&lt;&gt;"")*(MONTH('Billing Log'!$H$2:$H$501)=8)*('Billing Log'!$F$2:$F$501="NS04")*'Billing Log'!$I$2:$I$501)</f>
        <v>0</v>
      </c>
      <c r="E13" s="17" t="n">
        <f aca="false">SUMPRODUCT(('Billing Log'!$J$2:$J$501&lt;&gt;"")*(MONTH('Billing Log'!$J$2:$J$501)=8)*('Billing Log'!$F$2:$F$501="NS04")*'Billing Log'!$K$2:$K$501)</f>
        <v>0</v>
      </c>
      <c r="F13" s="17" t="n">
        <f aca="false">SUMPRODUCT(('Billing Log'!$H$2:$H$501&lt;&gt;"")*(MONTH('Billing Log'!$H$2:$H$501)=8)*('Billing Log'!$F$2:$F$501="NS05")*'Billing Log'!$I$2:$I$501)</f>
        <v>0</v>
      </c>
      <c r="G13" s="17" t="n">
        <f aca="false">SUMPRODUCT(('Billing Log'!$J$2:$J$501&lt;&gt;"")*(MONTH('Billing Log'!$J$2:$J$501)=8)*('Billing Log'!$F$2:$F$501="NS05")*'Billing Log'!$K$2:$K$501)</f>
        <v>0</v>
      </c>
      <c r="H13" s="17" t="n">
        <f aca="false">SUMPRODUCT(('Billing Log'!$H$2:$H$501&lt;&gt;"")*(MONTH('Billing Log'!$H$2:$H$501)=8)*('Billing Log'!$F$2:$F$501="NS06")*'Billing Log'!$I$2:$I$501)</f>
        <v>0</v>
      </c>
      <c r="I13" s="17" t="n">
        <f aca="false">SUMPRODUCT(('Billing Log'!$J$2:$J$501&lt;&gt;"")*(MONTH('Billing Log'!$J$2:$J$501)=8)*('Billing Log'!$F$2:$F$501="NS06")*'Billing Log'!$K$2:$K$501)</f>
        <v>0</v>
      </c>
    </row>
    <row r="14" customFormat="false" ht="15" hidden="false" customHeight="true" outlineLevel="0" collapsed="false">
      <c r="A14" s="12" t="s">
        <v>154</v>
      </c>
      <c r="B14" s="17" t="n">
        <f aca="false">SUMPRODUCT(('Billing Log'!$H$2:$H$501&lt;&gt;"")*(MONTH('Billing Log'!$H$2:$H$501)=9)*(('Billing Log'!$F$2:$F$501="NS01")+('Billing Log'!$F$2:$F$501="NS02")+('Billing Log'!$F$2:$F$501="NS03"))*'Billing Log'!$I$2:$I$501)</f>
        <v>0</v>
      </c>
      <c r="C14" s="17" t="n">
        <f aca="false">SUMPRODUCT(('Billing Log'!$J$2:$J$501&lt;&gt;"")*(MONTH('Billing Log'!$J$2:$J$501)=9)*(('Billing Log'!$F$2:$F$501="NS01")+('Billing Log'!$F$2:$F$501="NS02")+('Billing Log'!$F$2:$F$501="NS03"))*'Billing Log'!$K$2:$K$501)</f>
        <v>0</v>
      </c>
      <c r="D14" s="17" t="n">
        <f aca="false">SUMPRODUCT(('Billing Log'!$H$2:$H$501&lt;&gt;"")*(MONTH('Billing Log'!$H$2:$H$501)=9)*('Billing Log'!$F$2:$F$501="NS04")*'Billing Log'!$I$2:$I$501)</f>
        <v>0</v>
      </c>
      <c r="E14" s="17" t="n">
        <f aca="false">SUMPRODUCT(('Billing Log'!$J$2:$J$501&lt;&gt;"")*(MONTH('Billing Log'!$J$2:$J$501)=9)*('Billing Log'!$F$2:$F$501="NS04")*'Billing Log'!$K$2:$K$501)</f>
        <v>0</v>
      </c>
      <c r="F14" s="17" t="n">
        <f aca="false">SUMPRODUCT(('Billing Log'!$H$2:$H$501&lt;&gt;"")*(MONTH('Billing Log'!$H$2:$H$501)=9)*('Billing Log'!$F$2:$F$501="NS05")*'Billing Log'!$I$2:$I$501)</f>
        <v>0</v>
      </c>
      <c r="G14" s="17" t="n">
        <f aca="false">SUMPRODUCT(('Billing Log'!$J$2:$J$501&lt;&gt;"")*(MONTH('Billing Log'!$J$2:$J$501)=9)*('Billing Log'!$F$2:$F$501="NS05")*'Billing Log'!$K$2:$K$501)</f>
        <v>0</v>
      </c>
      <c r="H14" s="17" t="n">
        <f aca="false">SUMPRODUCT(('Billing Log'!$H$2:$H$501&lt;&gt;"")*(MONTH('Billing Log'!$H$2:$H$501)=9)*('Billing Log'!$F$2:$F$501="NS06")*'Billing Log'!$I$2:$I$501)</f>
        <v>0</v>
      </c>
      <c r="I14" s="17" t="n">
        <f aca="false">SUMPRODUCT(('Billing Log'!$J$2:$J$501&lt;&gt;"")*(MONTH('Billing Log'!$J$2:$J$501)=9)*('Billing Log'!$F$2:$F$501="NS06")*'Billing Log'!$K$2:$K$501)</f>
        <v>0</v>
      </c>
    </row>
    <row r="15" customFormat="false" ht="15" hidden="false" customHeight="true" outlineLevel="0" collapsed="false">
      <c r="A15" s="12" t="s">
        <v>155</v>
      </c>
      <c r="B15" s="17" t="n">
        <f aca="false">SUMPRODUCT(('Billing Log'!$H$2:$H$501&lt;&gt;"")*(MONTH('Billing Log'!$H$2:$H$501)=10)*(('Billing Log'!$F$2:$F$501="NS01")+('Billing Log'!$F$2:$F$501="NS02")+('Billing Log'!$F$2:$F$501="NS03"))*'Billing Log'!$I$2:$I$501)</f>
        <v>0</v>
      </c>
      <c r="C15" s="17" t="n">
        <f aca="false">SUMPRODUCT(('Billing Log'!$J$2:$J$501&lt;&gt;"")*(MONTH('Billing Log'!$J$2:$J$501)=10)*(('Billing Log'!$F$2:$F$501="NS01")+('Billing Log'!$F$2:$F$501="NS02")+('Billing Log'!$F$2:$F$501="NS03"))*'Billing Log'!$K$2:$K$501)</f>
        <v>0</v>
      </c>
      <c r="D15" s="17" t="n">
        <f aca="false">SUMPRODUCT(('Billing Log'!$H$2:$H$501&lt;&gt;"")*(MONTH('Billing Log'!$H$2:$H$501)=10)*('Billing Log'!$F$2:$F$501="NS04")*'Billing Log'!$I$2:$I$501)</f>
        <v>0</v>
      </c>
      <c r="E15" s="17" t="n">
        <f aca="false">SUMPRODUCT(('Billing Log'!$J$2:$J$501&lt;&gt;"")*(MONTH('Billing Log'!$J$2:$J$501)=10)*('Billing Log'!$F$2:$F$501="NS04")*'Billing Log'!$K$2:$K$501)</f>
        <v>0</v>
      </c>
      <c r="F15" s="17" t="n">
        <f aca="false">SUMPRODUCT(('Billing Log'!$H$2:$H$501&lt;&gt;"")*(MONTH('Billing Log'!$H$2:$H$501)=10)*('Billing Log'!$F$2:$F$501="NS05")*'Billing Log'!$I$2:$I$501)</f>
        <v>192</v>
      </c>
      <c r="G15" s="17" t="n">
        <f aca="false">SUMPRODUCT(('Billing Log'!$J$2:$J$501&lt;&gt;"")*(MONTH('Billing Log'!$J$2:$J$501)=10)*('Billing Log'!$F$2:$F$501="NS05")*'Billing Log'!$K$2:$K$501)</f>
        <v>0</v>
      </c>
      <c r="H15" s="17" t="n">
        <f aca="false">SUMPRODUCT(('Billing Log'!$H$2:$H$501&lt;&gt;"")*(MONTH('Billing Log'!$H$2:$H$501)=10)*('Billing Log'!$F$2:$F$501="NS06")*'Billing Log'!$I$2:$I$501)</f>
        <v>0</v>
      </c>
      <c r="I15" s="17" t="n">
        <f aca="false">SUMPRODUCT(('Billing Log'!$J$2:$J$501&lt;&gt;"")*(MONTH('Billing Log'!$J$2:$J$501)=10)*('Billing Log'!$F$2:$F$501="NS06")*'Billing Log'!$K$2:$K$501)</f>
        <v>0</v>
      </c>
    </row>
    <row r="16" customFormat="false" ht="15" hidden="false" customHeight="true" outlineLevel="0" collapsed="false">
      <c r="A16" s="12" t="s">
        <v>156</v>
      </c>
      <c r="B16" s="17" t="n">
        <f aca="false">SUMPRODUCT(('Billing Log'!$H$2:$H$501&lt;&gt;"")*(MONTH('Billing Log'!$H$2:$H$501)=11)*(('Billing Log'!$F$2:$F$501="NS01")+('Billing Log'!$F$2:$F$501="NS02")+('Billing Log'!$F$2:$F$501="NS03"))*'Billing Log'!$I$2:$I$501)</f>
        <v>0</v>
      </c>
      <c r="C16" s="17" t="n">
        <f aca="false">SUMPRODUCT(('Billing Log'!$J$2:$J$501&lt;&gt;"")*(MONTH('Billing Log'!$J$2:$J$501)=11)*(('Billing Log'!$F$2:$F$501="NS01")+('Billing Log'!$F$2:$F$501="NS02")+('Billing Log'!$F$2:$F$501="NS03"))*'Billing Log'!$K$2:$K$501)</f>
        <v>0</v>
      </c>
      <c r="D16" s="17" t="n">
        <f aca="false">SUMPRODUCT(('Billing Log'!$H$2:$H$501&lt;&gt;"")*(MONTH('Billing Log'!$H$2:$H$501)=11)*('Billing Log'!$F$2:$F$501="NS04")*'Billing Log'!$I$2:$I$501)</f>
        <v>0</v>
      </c>
      <c r="E16" s="17" t="n">
        <f aca="false">SUMPRODUCT(('Billing Log'!$J$2:$J$501&lt;&gt;"")*(MONTH('Billing Log'!$J$2:$J$501)=11)*('Billing Log'!$F$2:$F$501="NS04")*'Billing Log'!$K$2:$K$501)</f>
        <v>0</v>
      </c>
      <c r="F16" s="17" t="n">
        <f aca="false">SUMPRODUCT(('Billing Log'!$H$2:$H$501&lt;&gt;"")*(MONTH('Billing Log'!$H$2:$H$501)=11)*('Billing Log'!$F$2:$F$501="NS05")*'Billing Log'!$I$2:$I$501)</f>
        <v>192</v>
      </c>
      <c r="G16" s="17" t="n">
        <f aca="false">SUMPRODUCT(('Billing Log'!$J$2:$J$501&lt;&gt;"")*(MONTH('Billing Log'!$J$2:$J$501)=11)*('Billing Log'!$F$2:$F$501="NS05")*'Billing Log'!$K$2:$K$501)</f>
        <v>192</v>
      </c>
      <c r="H16" s="17" t="n">
        <f aca="false">SUMPRODUCT(('Billing Log'!$H$2:$H$501&lt;&gt;"")*(MONTH('Billing Log'!$H$2:$H$501)=11)*('Billing Log'!$F$2:$F$501="NS06")*'Billing Log'!$I$2:$I$501)</f>
        <v>0</v>
      </c>
      <c r="I16" s="17" t="n">
        <f aca="false">SUMPRODUCT(('Billing Log'!$J$2:$J$501&lt;&gt;"")*(MONTH('Billing Log'!$J$2:$J$501)=11)*('Billing Log'!$F$2:$F$501="NS06")*'Billing Log'!$K$2:$K$501)</f>
        <v>0</v>
      </c>
    </row>
    <row r="17" customFormat="false" ht="15" hidden="false" customHeight="true" outlineLevel="0" collapsed="false">
      <c r="A17" s="12" t="s">
        <v>157</v>
      </c>
      <c r="B17" s="17" t="n">
        <f aca="false">SUMPRODUCT(('Billing Log'!$H$2:$H$501&lt;&gt;"")*(MONTH('Billing Log'!$H$2:$H$501)=12)*(('Billing Log'!$F$2:$F$501="NS01")+('Billing Log'!$F$2:$F$501="NS02")+('Billing Log'!$F$2:$F$501="NS03"))*'Billing Log'!$I$2:$I$501)</f>
        <v>0</v>
      </c>
      <c r="C17" s="17" t="n">
        <f aca="false">SUMPRODUCT(('Billing Log'!$J$2:$J$501&lt;&gt;"")*(MONTH('Billing Log'!$J$2:$J$501)=12)*(('Billing Log'!$F$2:$F$501="NS01")+('Billing Log'!$F$2:$F$501="NS02")+('Billing Log'!$F$2:$F$501="NS03"))*'Billing Log'!$K$2:$K$501)</f>
        <v>0</v>
      </c>
      <c r="D17" s="17" t="n">
        <f aca="false">SUMPRODUCT(('Billing Log'!$H$2:$H$501&lt;&gt;"")*(MONTH('Billing Log'!$H$2:$H$501)=12)*('Billing Log'!$F$2:$F$501="NS04")*'Billing Log'!$I$2:$I$501)</f>
        <v>0</v>
      </c>
      <c r="E17" s="17" t="n">
        <f aca="false">SUMPRODUCT(('Billing Log'!$J$2:$J$501&lt;&gt;"")*(MONTH('Billing Log'!$J$2:$J$501)=12)*('Billing Log'!$F$2:$F$501="NS04")*'Billing Log'!$K$2:$K$501)</f>
        <v>0</v>
      </c>
      <c r="F17" s="17" t="n">
        <f aca="false">SUMPRODUCT(('Billing Log'!$H$2:$H$501&lt;&gt;"")*(MONTH('Billing Log'!$H$2:$H$501)=12)*('Billing Log'!$F$2:$F$501="NS05")*'Billing Log'!$I$2:$I$501)</f>
        <v>192</v>
      </c>
      <c r="G17" s="17" t="n">
        <f aca="false">SUMPRODUCT(('Billing Log'!$J$2:$J$501&lt;&gt;"")*(MONTH('Billing Log'!$J$2:$J$501)=12)*('Billing Log'!$F$2:$F$501="NS05")*'Billing Log'!$K$2:$K$501)</f>
        <v>192</v>
      </c>
      <c r="H17" s="17" t="n">
        <f aca="false">SUMPRODUCT(('Billing Log'!$H$2:$H$501&lt;&gt;"")*(MONTH('Billing Log'!$H$2:$H$501)=12)*('Billing Log'!$F$2:$F$501="NS06")*'Billing Log'!$I$2:$I$501)</f>
        <v>0</v>
      </c>
      <c r="I17" s="17" t="n">
        <f aca="false">SUMPRODUCT(('Billing Log'!$J$2:$J$501&lt;&gt;"")*(MONTH('Billing Log'!$J$2:$J$501)=12)*('Billing Log'!$F$2:$F$501="NS06")*'Billing Log'!$K$2:$K$501)</f>
        <v>0</v>
      </c>
    </row>
    <row r="18" customFormat="false" ht="15" hidden="false" customHeight="true" outlineLevel="0" collapsed="false">
      <c r="A18" s="18" t="s">
        <v>158</v>
      </c>
      <c r="B18" s="19" t="n">
        <f aca="false">SUM(B6:B17)</f>
        <v>5550</v>
      </c>
      <c r="C18" s="19" t="n">
        <f aca="false">SUM(C6:C17)</f>
        <v>4350</v>
      </c>
      <c r="D18" s="19" t="n">
        <f aca="false">SUM(D6:D17)</f>
        <v>1805</v>
      </c>
      <c r="E18" s="19" t="n">
        <f aca="false">SUM(E6:E17)</f>
        <v>1330</v>
      </c>
      <c r="F18" s="19" t="n">
        <f aca="false">SUM(F6:F17)</f>
        <v>5184</v>
      </c>
      <c r="G18" s="19" t="n">
        <f aca="false">SUM(G6:G17)</f>
        <v>5184</v>
      </c>
      <c r="H18" s="19" t="n">
        <f aca="false">SUM(H6:H17)</f>
        <v>935</v>
      </c>
      <c r="I18" s="19" t="n">
        <f aca="false">SUM(I6:I17)</f>
        <v>850</v>
      </c>
    </row>
    <row r="20" customFormat="false" ht="39.75" hidden="false" customHeight="true" outlineLevel="0" collapsed="false">
      <c r="A20" s="8" t="s">
        <v>159</v>
      </c>
      <c r="B20" s="8"/>
      <c r="C20" s="8"/>
      <c r="D20" s="8"/>
      <c r="E20" s="8"/>
      <c r="F20" s="8"/>
      <c r="G20" s="8"/>
      <c r="H20" s="8"/>
      <c r="I20" s="8"/>
    </row>
  </sheetData>
  <mergeCells count="6">
    <mergeCell ref="A4:A5"/>
    <mergeCell ref="B4:C4"/>
    <mergeCell ref="D4:E4"/>
    <mergeCell ref="F4:G4"/>
    <mergeCell ref="H4:I4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5" min="4" style="1" width="32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28"/>
  </cols>
  <sheetData>
    <row r="1" customFormat="false" ht="17.25" hidden="false" customHeight="true" outlineLevel="0" collapsed="false">
      <c r="A1" s="2" t="s">
        <v>160</v>
      </c>
    </row>
    <row r="2" customFormat="false" ht="15" hidden="false" customHeight="true" outlineLevel="0" collapsed="false">
      <c r="A2" s="3" t="s">
        <v>161</v>
      </c>
    </row>
    <row r="4" customFormat="false" ht="23.25" hidden="false" customHeight="true" outlineLevel="0" collapsed="false">
      <c r="A4" s="9" t="s">
        <v>29</v>
      </c>
      <c r="B4" s="9" t="s">
        <v>32</v>
      </c>
      <c r="C4" s="9" t="s">
        <v>162</v>
      </c>
      <c r="D4" s="9" t="s">
        <v>163</v>
      </c>
      <c r="E4" s="9" t="s">
        <v>164</v>
      </c>
      <c r="F4" s="9" t="s">
        <v>165</v>
      </c>
      <c r="G4" s="9" t="s">
        <v>166</v>
      </c>
      <c r="H4" s="9" t="s">
        <v>167</v>
      </c>
      <c r="I4" s="9" t="s">
        <v>168</v>
      </c>
      <c r="J4" s="9" t="s">
        <v>39</v>
      </c>
      <c r="K4" s="9" t="s">
        <v>42</v>
      </c>
    </row>
    <row r="5" customFormat="false" ht="15" hidden="false" customHeight="true" outlineLevel="0" collapsed="false">
      <c r="A5" s="20" t="s">
        <v>49</v>
      </c>
      <c r="B5" s="20" t="n">
        <v>10052987765</v>
      </c>
      <c r="C5" s="21" t="n">
        <v>46183</v>
      </c>
      <c r="D5" s="20" t="s">
        <v>169</v>
      </c>
      <c r="E5" s="20" t="s">
        <v>170</v>
      </c>
      <c r="F5" s="20" t="s">
        <v>171</v>
      </c>
      <c r="G5" s="21" t="n">
        <v>46185</v>
      </c>
      <c r="H5" s="20" t="s">
        <v>172</v>
      </c>
      <c r="I5" s="21" t="n">
        <v>46208</v>
      </c>
      <c r="J5" s="20" t="s">
        <v>173</v>
      </c>
      <c r="K5" s="20" t="s">
        <v>174</v>
      </c>
    </row>
    <row r="6" customFormat="false" ht="15" hidden="false" customHeight="true" outlineLevel="0" collapsed="false">
      <c r="A6" s="20" t="s">
        <v>58</v>
      </c>
      <c r="B6" s="20" t="n">
        <v>10047765123</v>
      </c>
      <c r="C6" s="21" t="n">
        <v>45901</v>
      </c>
      <c r="D6" s="20" t="s">
        <v>175</v>
      </c>
      <c r="E6" s="20" t="s">
        <v>176</v>
      </c>
      <c r="F6" s="20" t="s">
        <v>177</v>
      </c>
      <c r="G6" s="21" t="n">
        <v>45905</v>
      </c>
      <c r="H6" s="20" t="s">
        <v>178</v>
      </c>
      <c r="I6" s="21"/>
      <c r="J6" s="20" t="s">
        <v>179</v>
      </c>
      <c r="K6" s="20"/>
    </row>
    <row r="7" customFormat="false" ht="15" hidden="false" customHeight="true" outlineLevel="0" collapsed="false">
      <c r="A7" s="20" t="s">
        <v>72</v>
      </c>
      <c r="B7" s="20" t="n">
        <v>10046654321</v>
      </c>
      <c r="C7" s="21" t="n">
        <v>46191</v>
      </c>
      <c r="D7" s="20" t="s">
        <v>180</v>
      </c>
      <c r="E7" s="20" t="s">
        <v>181</v>
      </c>
      <c r="F7" s="20" t="s">
        <v>177</v>
      </c>
      <c r="G7" s="21" t="n">
        <v>46195</v>
      </c>
      <c r="H7" s="20" t="s">
        <v>172</v>
      </c>
      <c r="I7" s="21" t="n">
        <v>46218</v>
      </c>
      <c r="J7" s="20" t="s">
        <v>182</v>
      </c>
      <c r="K7" s="20" t="s">
        <v>183</v>
      </c>
    </row>
    <row r="8" customFormat="false" ht="15" hidden="false" customHeight="true" outlineLevel="0" collapsed="false">
      <c r="A8" s="20" t="s">
        <v>67</v>
      </c>
      <c r="B8" s="20" t="n">
        <v>10049988771</v>
      </c>
      <c r="C8" s="21" t="n">
        <v>46198</v>
      </c>
      <c r="D8" s="20" t="s">
        <v>184</v>
      </c>
      <c r="E8" s="20" t="s">
        <v>185</v>
      </c>
      <c r="F8" s="20" t="s">
        <v>177</v>
      </c>
      <c r="G8" s="21" t="n">
        <v>46199</v>
      </c>
      <c r="H8" s="20" t="s">
        <v>172</v>
      </c>
      <c r="I8" s="21" t="n">
        <v>46223</v>
      </c>
      <c r="J8" s="20" t="s">
        <v>182</v>
      </c>
      <c r="K8" s="20" t="s">
        <v>186</v>
      </c>
    </row>
    <row r="9" customFormat="false" ht="15" hidden="false" customHeight="true" outlineLevel="0" collapsed="false">
      <c r="A9" s="20" t="s">
        <v>76</v>
      </c>
      <c r="B9" s="20" t="n">
        <v>10054411002</v>
      </c>
      <c r="C9" s="21" t="n">
        <v>46162</v>
      </c>
      <c r="D9" s="20" t="s">
        <v>187</v>
      </c>
      <c r="E9" s="20" t="s">
        <v>188</v>
      </c>
      <c r="F9" s="20" t="s">
        <v>177</v>
      </c>
      <c r="G9" s="21" t="n">
        <v>46167</v>
      </c>
      <c r="H9" s="20" t="s">
        <v>172</v>
      </c>
      <c r="I9" s="21" t="n">
        <v>46211</v>
      </c>
      <c r="J9" s="20" t="s">
        <v>173</v>
      </c>
      <c r="K9" s="20" t="s">
        <v>189</v>
      </c>
    </row>
    <row r="10" customFormat="false" ht="15" hidden="false" customHeight="true" outlineLevel="0" collapsed="false">
      <c r="A10" s="20"/>
      <c r="B10" s="20"/>
      <c r="C10" s="21"/>
      <c r="D10" s="20"/>
      <c r="E10" s="20"/>
      <c r="F10" s="20"/>
      <c r="G10" s="21"/>
      <c r="H10" s="20"/>
      <c r="I10" s="21"/>
      <c r="J10" s="20"/>
      <c r="K10" s="20"/>
    </row>
    <row r="11" customFormat="false" ht="15" hidden="false" customHeight="true" outlineLevel="0" collapsed="false">
      <c r="A11" s="20"/>
      <c r="B11" s="20"/>
      <c r="C11" s="21"/>
      <c r="D11" s="20"/>
      <c r="E11" s="20"/>
      <c r="F11" s="20"/>
      <c r="G11" s="21"/>
      <c r="H11" s="20"/>
      <c r="I11" s="21"/>
      <c r="J11" s="20"/>
      <c r="K11" s="20"/>
    </row>
    <row r="12" customFormat="false" ht="15" hidden="false" customHeight="true" outlineLevel="0" collapsed="false">
      <c r="A12" s="20"/>
      <c r="B12" s="20"/>
      <c r="C12" s="21"/>
      <c r="D12" s="20"/>
      <c r="E12" s="20"/>
      <c r="F12" s="20"/>
      <c r="G12" s="21"/>
      <c r="H12" s="20"/>
      <c r="I12" s="21"/>
      <c r="J12" s="20"/>
      <c r="K12" s="20"/>
    </row>
    <row r="13" customFormat="false" ht="15" hidden="false" customHeight="true" outlineLevel="0" collapsed="false">
      <c r="A13" s="20"/>
      <c r="B13" s="20"/>
      <c r="C13" s="21"/>
      <c r="D13" s="20"/>
      <c r="E13" s="20"/>
      <c r="F13" s="20"/>
      <c r="G13" s="21"/>
      <c r="H13" s="20"/>
      <c r="I13" s="21"/>
      <c r="J13" s="20"/>
      <c r="K13" s="20"/>
    </row>
    <row r="14" customFormat="false" ht="15" hidden="false" customHeight="true" outlineLevel="0" collapsed="false">
      <c r="A14" s="20"/>
      <c r="B14" s="20"/>
      <c r="C14" s="21"/>
      <c r="D14" s="20"/>
      <c r="E14" s="20"/>
      <c r="F14" s="20"/>
      <c r="G14" s="21"/>
      <c r="H14" s="20"/>
      <c r="I14" s="21"/>
      <c r="J14" s="20"/>
      <c r="K14" s="20"/>
    </row>
    <row r="15" customFormat="false" ht="15" hidden="false" customHeight="true" outlineLevel="0" collapsed="false">
      <c r="A15" s="20"/>
      <c r="B15" s="20"/>
      <c r="C15" s="21"/>
      <c r="D15" s="20"/>
      <c r="E15" s="20"/>
      <c r="F15" s="20"/>
      <c r="G15" s="21"/>
      <c r="H15" s="20"/>
      <c r="I15" s="21"/>
      <c r="J15" s="20"/>
      <c r="K15" s="20"/>
    </row>
    <row r="16" customFormat="false" ht="15" hidden="false" customHeight="true" outlineLevel="0" collapsed="false">
      <c r="A16" s="20"/>
      <c r="B16" s="20"/>
      <c r="C16" s="21"/>
      <c r="D16" s="20"/>
      <c r="E16" s="20"/>
      <c r="F16" s="20"/>
      <c r="G16" s="21"/>
      <c r="H16" s="20"/>
      <c r="I16" s="21"/>
      <c r="J16" s="20"/>
      <c r="K16" s="20"/>
    </row>
    <row r="17" customFormat="false" ht="15" hidden="false" customHeight="true" outlineLevel="0" collapsed="false">
      <c r="A17" s="20"/>
      <c r="B17" s="20"/>
      <c r="C17" s="21"/>
      <c r="D17" s="20"/>
      <c r="E17" s="20"/>
      <c r="F17" s="20"/>
      <c r="G17" s="21"/>
      <c r="H17" s="20"/>
      <c r="I17" s="21"/>
      <c r="J17" s="20"/>
      <c r="K17" s="20"/>
    </row>
    <row r="18" customFormat="false" ht="15" hidden="false" customHeight="true" outlineLevel="0" collapsed="false">
      <c r="A18" s="20"/>
      <c r="B18" s="20"/>
      <c r="C18" s="21"/>
      <c r="D18" s="20"/>
      <c r="E18" s="20"/>
      <c r="F18" s="20"/>
      <c r="G18" s="21"/>
      <c r="H18" s="20"/>
      <c r="I18" s="21"/>
      <c r="J18" s="20"/>
      <c r="K18" s="20"/>
    </row>
    <row r="19" customFormat="false" ht="15" hidden="false" customHeight="true" outlineLevel="0" collapsed="false">
      <c r="A19" s="20"/>
      <c r="B19" s="20"/>
      <c r="C19" s="21"/>
      <c r="D19" s="20"/>
      <c r="E19" s="20"/>
      <c r="F19" s="20"/>
      <c r="G19" s="21"/>
      <c r="H19" s="20"/>
      <c r="I19" s="21"/>
      <c r="J19" s="20"/>
      <c r="K19" s="20"/>
    </row>
    <row r="20" customFormat="false" ht="15" hidden="false" customHeight="true" outlineLevel="0" collapsed="false">
      <c r="A20" s="20"/>
      <c r="B20" s="20"/>
      <c r="C20" s="21"/>
      <c r="D20" s="20"/>
      <c r="E20" s="20"/>
      <c r="F20" s="20"/>
      <c r="G20" s="21"/>
      <c r="H20" s="20"/>
      <c r="I20" s="21"/>
      <c r="J20" s="20"/>
      <c r="K20" s="20"/>
    </row>
    <row r="21" customFormat="false" ht="15" hidden="false" customHeight="true" outlineLevel="0" collapsed="false">
      <c r="A21" s="20"/>
      <c r="B21" s="20"/>
      <c r="C21" s="21"/>
      <c r="D21" s="20"/>
      <c r="E21" s="20"/>
      <c r="F21" s="20"/>
      <c r="G21" s="21"/>
      <c r="H21" s="20"/>
      <c r="I21" s="21"/>
      <c r="J21" s="20"/>
      <c r="K21" s="20"/>
    </row>
    <row r="22" customFormat="false" ht="15" hidden="false" customHeight="true" outlineLevel="0" collapsed="false">
      <c r="A22" s="20"/>
      <c r="B22" s="20"/>
      <c r="C22" s="21"/>
      <c r="D22" s="20"/>
      <c r="E22" s="20"/>
      <c r="F22" s="20"/>
      <c r="G22" s="21"/>
      <c r="H22" s="20"/>
      <c r="I22" s="21"/>
      <c r="J22" s="20"/>
      <c r="K22" s="20"/>
    </row>
    <row r="23" customFormat="false" ht="15" hidden="false" customHeight="true" outlineLevel="0" collapsed="false">
      <c r="A23" s="20"/>
      <c r="B23" s="20"/>
      <c r="C23" s="21"/>
      <c r="D23" s="20"/>
      <c r="E23" s="20"/>
      <c r="F23" s="20"/>
      <c r="G23" s="21"/>
      <c r="H23" s="20"/>
      <c r="I23" s="21"/>
      <c r="J23" s="20"/>
      <c r="K23" s="20"/>
    </row>
    <row r="24" customFormat="false" ht="15" hidden="false" customHeight="true" outlineLevel="0" collapsed="false">
      <c r="A24" s="20"/>
      <c r="B24" s="20"/>
      <c r="C24" s="21"/>
      <c r="D24" s="20"/>
      <c r="E24" s="20"/>
      <c r="F24" s="20"/>
      <c r="G24" s="21"/>
      <c r="H24" s="20"/>
      <c r="I24" s="21"/>
      <c r="J24" s="20"/>
      <c r="K24" s="20"/>
    </row>
    <row r="25" customFormat="false" ht="15" hidden="false" customHeight="true" outlineLevel="0" collapsed="false">
      <c r="A25" s="20"/>
      <c r="B25" s="20"/>
      <c r="C25" s="21"/>
      <c r="D25" s="20"/>
      <c r="E25" s="20"/>
      <c r="F25" s="20"/>
      <c r="G25" s="21"/>
      <c r="H25" s="20"/>
      <c r="I25" s="21"/>
      <c r="J25" s="20"/>
      <c r="K25" s="20"/>
    </row>
    <row r="26" customFormat="false" ht="15" hidden="false" customHeight="true" outlineLevel="0" collapsed="false">
      <c r="A26" s="20"/>
      <c r="B26" s="20"/>
      <c r="C26" s="21"/>
      <c r="D26" s="20"/>
      <c r="E26" s="20"/>
      <c r="F26" s="20"/>
      <c r="G26" s="21"/>
      <c r="H26" s="20"/>
      <c r="I26" s="21"/>
      <c r="J26" s="20"/>
      <c r="K26" s="20"/>
    </row>
    <row r="27" customFormat="false" ht="15" hidden="false" customHeight="true" outlineLevel="0" collapsed="false">
      <c r="A27" s="20"/>
      <c r="B27" s="20"/>
      <c r="C27" s="21"/>
      <c r="D27" s="20"/>
      <c r="E27" s="20"/>
      <c r="F27" s="20"/>
      <c r="G27" s="21"/>
      <c r="H27" s="20"/>
      <c r="I27" s="21"/>
      <c r="J27" s="20"/>
      <c r="K27" s="20"/>
    </row>
    <row r="28" customFormat="false" ht="15" hidden="false" customHeight="true" outlineLevel="0" collapsed="false">
      <c r="A28" s="20"/>
      <c r="B28" s="20"/>
      <c r="C28" s="21"/>
      <c r="D28" s="20"/>
      <c r="E28" s="20"/>
      <c r="F28" s="20"/>
      <c r="G28" s="21"/>
      <c r="H28" s="20"/>
      <c r="I28" s="21"/>
      <c r="J28" s="20"/>
      <c r="K28" s="20"/>
    </row>
    <row r="29" customFormat="false" ht="15" hidden="false" customHeight="true" outlineLevel="0" collapsed="false">
      <c r="A29" s="20"/>
      <c r="B29" s="20"/>
      <c r="C29" s="21"/>
      <c r="D29" s="20"/>
      <c r="E29" s="20"/>
      <c r="F29" s="20"/>
      <c r="G29" s="21"/>
      <c r="H29" s="20"/>
      <c r="I29" s="21"/>
      <c r="J29" s="20"/>
      <c r="K29" s="20"/>
    </row>
    <row r="30" customFormat="false" ht="15" hidden="false" customHeight="true" outlineLevel="0" collapsed="false">
      <c r="A30" s="20"/>
      <c r="B30" s="20"/>
      <c r="C30" s="21"/>
      <c r="D30" s="20"/>
      <c r="E30" s="20"/>
      <c r="F30" s="20"/>
      <c r="G30" s="21"/>
      <c r="H30" s="20"/>
      <c r="I30" s="21"/>
      <c r="J30" s="20"/>
      <c r="K30" s="20"/>
    </row>
    <row r="31" customFormat="false" ht="15" hidden="false" customHeight="true" outlineLevel="0" collapsed="false">
      <c r="A31" s="20"/>
      <c r="B31" s="20"/>
      <c r="C31" s="21"/>
      <c r="D31" s="20"/>
      <c r="E31" s="20"/>
      <c r="F31" s="20"/>
      <c r="G31" s="21"/>
      <c r="H31" s="20"/>
      <c r="I31" s="21"/>
      <c r="J31" s="20"/>
      <c r="K31" s="20"/>
    </row>
    <row r="32" customFormat="false" ht="15" hidden="false" customHeight="true" outlineLevel="0" collapsed="false">
      <c r="A32" s="20"/>
      <c r="B32" s="20"/>
      <c r="C32" s="21"/>
      <c r="D32" s="20"/>
      <c r="E32" s="20"/>
      <c r="F32" s="20"/>
      <c r="G32" s="21"/>
      <c r="H32" s="20"/>
      <c r="I32" s="21"/>
      <c r="J32" s="20"/>
      <c r="K32" s="20"/>
    </row>
    <row r="33" customFormat="false" ht="15" hidden="false" customHeight="true" outlineLevel="0" collapsed="false">
      <c r="A33" s="20"/>
      <c r="B33" s="20"/>
      <c r="C33" s="21"/>
      <c r="D33" s="20"/>
      <c r="E33" s="20"/>
      <c r="F33" s="20"/>
      <c r="G33" s="21"/>
      <c r="H33" s="20"/>
      <c r="I33" s="21"/>
      <c r="J33" s="20"/>
      <c r="K33" s="20"/>
    </row>
    <row r="34" customFormat="false" ht="15" hidden="false" customHeight="true" outlineLevel="0" collapsed="false">
      <c r="A34" s="20"/>
      <c r="B34" s="20"/>
      <c r="C34" s="21"/>
      <c r="D34" s="20"/>
      <c r="E34" s="20"/>
      <c r="F34" s="20"/>
      <c r="G34" s="21"/>
      <c r="H34" s="20"/>
      <c r="I34" s="21"/>
      <c r="J34" s="20"/>
      <c r="K34" s="20"/>
    </row>
    <row r="35" customFormat="false" ht="15" hidden="false" customHeight="true" outlineLevel="0" collapsed="false">
      <c r="A35" s="20"/>
      <c r="B35" s="20"/>
      <c r="C35" s="21"/>
      <c r="D35" s="20"/>
      <c r="E35" s="20"/>
      <c r="F35" s="20"/>
      <c r="G35" s="21"/>
      <c r="H35" s="20"/>
      <c r="I35" s="21"/>
      <c r="J35" s="20"/>
      <c r="K35" s="20"/>
    </row>
    <row r="36" customFormat="false" ht="15" hidden="false" customHeight="true" outlineLevel="0" collapsed="false">
      <c r="A36" s="20"/>
      <c r="B36" s="20"/>
      <c r="C36" s="21"/>
      <c r="D36" s="20"/>
      <c r="E36" s="20"/>
      <c r="F36" s="20"/>
      <c r="G36" s="21"/>
      <c r="H36" s="20"/>
      <c r="I36" s="21"/>
      <c r="J36" s="20"/>
      <c r="K36" s="20"/>
    </row>
    <row r="37" customFormat="false" ht="15" hidden="false" customHeight="true" outlineLevel="0" collapsed="false">
      <c r="A37" s="20"/>
      <c r="B37" s="20"/>
      <c r="C37" s="21"/>
      <c r="D37" s="20"/>
      <c r="E37" s="20"/>
      <c r="F37" s="20"/>
      <c r="G37" s="21"/>
      <c r="H37" s="20"/>
      <c r="I37" s="21"/>
      <c r="J37" s="20"/>
      <c r="K37" s="20"/>
    </row>
    <row r="38" customFormat="false" ht="15" hidden="false" customHeight="true" outlineLevel="0" collapsed="false">
      <c r="A38" s="20"/>
      <c r="B38" s="20"/>
      <c r="C38" s="21"/>
      <c r="D38" s="20"/>
      <c r="E38" s="20"/>
      <c r="F38" s="20"/>
      <c r="G38" s="21"/>
      <c r="H38" s="20"/>
      <c r="I38" s="21"/>
      <c r="J38" s="20"/>
      <c r="K38" s="20"/>
    </row>
    <row r="39" customFormat="false" ht="15" hidden="false" customHeight="true" outlineLevel="0" collapsed="false">
      <c r="A39" s="20"/>
      <c r="B39" s="20"/>
      <c r="C39" s="21"/>
      <c r="D39" s="20"/>
      <c r="E39" s="20"/>
      <c r="F39" s="20"/>
      <c r="G39" s="21"/>
      <c r="H39" s="20"/>
      <c r="I39" s="21"/>
      <c r="J39" s="20"/>
      <c r="K39" s="20"/>
    </row>
    <row r="40" customFormat="false" ht="15" hidden="false" customHeight="true" outlineLevel="0" collapsed="false">
      <c r="A40" s="20"/>
      <c r="B40" s="20"/>
      <c r="C40" s="21"/>
      <c r="D40" s="20"/>
      <c r="E40" s="20"/>
      <c r="F40" s="20"/>
      <c r="G40" s="21"/>
      <c r="H40" s="20"/>
      <c r="I40" s="21"/>
      <c r="J40" s="20"/>
      <c r="K40" s="20"/>
    </row>
    <row r="41" customFormat="false" ht="15" hidden="false" customHeight="true" outlineLevel="0" collapsed="false">
      <c r="A41" s="20"/>
      <c r="B41" s="20"/>
      <c r="C41" s="21"/>
      <c r="D41" s="20"/>
      <c r="E41" s="20"/>
      <c r="F41" s="20"/>
      <c r="G41" s="21"/>
      <c r="H41" s="20"/>
      <c r="I41" s="21"/>
      <c r="J41" s="20"/>
      <c r="K41" s="20"/>
    </row>
    <row r="42" customFormat="false" ht="15" hidden="false" customHeight="true" outlineLevel="0" collapsed="false">
      <c r="A42" s="20"/>
      <c r="B42" s="20"/>
      <c r="C42" s="21"/>
      <c r="D42" s="20"/>
      <c r="E42" s="20"/>
      <c r="F42" s="20"/>
      <c r="G42" s="21"/>
      <c r="H42" s="20"/>
      <c r="I42" s="21"/>
      <c r="J42" s="20"/>
      <c r="K42" s="20"/>
    </row>
    <row r="43" customFormat="false" ht="15" hidden="false" customHeight="true" outlineLevel="0" collapsed="false">
      <c r="A43" s="20"/>
      <c r="B43" s="20"/>
      <c r="C43" s="21"/>
      <c r="D43" s="20"/>
      <c r="E43" s="20"/>
      <c r="F43" s="20"/>
      <c r="G43" s="21"/>
      <c r="H43" s="20"/>
      <c r="I43" s="21"/>
      <c r="J43" s="20"/>
      <c r="K43" s="20"/>
    </row>
    <row r="44" customFormat="false" ht="15" hidden="false" customHeight="true" outlineLevel="0" collapsed="false">
      <c r="A44" s="20"/>
      <c r="B44" s="20"/>
      <c r="C44" s="21"/>
      <c r="D44" s="20"/>
      <c r="E44" s="20"/>
      <c r="F44" s="20"/>
      <c r="G44" s="21"/>
      <c r="H44" s="20"/>
      <c r="I44" s="21"/>
      <c r="J44" s="20"/>
      <c r="K44" s="20"/>
    </row>
    <row r="45" customFormat="false" ht="15" hidden="false" customHeight="true" outlineLevel="0" collapsed="false">
      <c r="A45" s="20"/>
      <c r="B45" s="20"/>
      <c r="C45" s="21"/>
      <c r="D45" s="20"/>
      <c r="E45" s="20"/>
      <c r="F45" s="20"/>
      <c r="G45" s="21"/>
      <c r="H45" s="20"/>
      <c r="I45" s="21"/>
      <c r="J45" s="20"/>
      <c r="K45" s="20"/>
    </row>
    <row r="46" customFormat="false" ht="15" hidden="false" customHeight="true" outlineLevel="0" collapsed="false">
      <c r="A46" s="20"/>
      <c r="B46" s="20"/>
      <c r="C46" s="21"/>
      <c r="D46" s="20"/>
      <c r="E46" s="20"/>
      <c r="F46" s="20"/>
      <c r="G46" s="21"/>
      <c r="H46" s="20"/>
      <c r="I46" s="21"/>
      <c r="J46" s="20"/>
      <c r="K46" s="20"/>
    </row>
    <row r="47" customFormat="false" ht="15" hidden="false" customHeight="true" outlineLevel="0" collapsed="false">
      <c r="A47" s="20"/>
      <c r="B47" s="20"/>
      <c r="C47" s="21"/>
      <c r="D47" s="20"/>
      <c r="E47" s="20"/>
      <c r="F47" s="20"/>
      <c r="G47" s="21"/>
      <c r="H47" s="20"/>
      <c r="I47" s="21"/>
      <c r="J47" s="20"/>
      <c r="K47" s="20"/>
    </row>
    <row r="48" customFormat="false" ht="15" hidden="false" customHeight="true" outlineLevel="0" collapsed="false">
      <c r="A48" s="20"/>
      <c r="B48" s="20"/>
      <c r="C48" s="21"/>
      <c r="D48" s="20"/>
      <c r="E48" s="20"/>
      <c r="F48" s="20"/>
      <c r="G48" s="21"/>
      <c r="H48" s="20"/>
      <c r="I48" s="21"/>
      <c r="J48" s="20"/>
      <c r="K48" s="20"/>
    </row>
    <row r="49" customFormat="false" ht="15" hidden="false" customHeight="true" outlineLevel="0" collapsed="false">
      <c r="A49" s="20"/>
      <c r="B49" s="20"/>
      <c r="C49" s="21"/>
      <c r="D49" s="20"/>
      <c r="E49" s="20"/>
      <c r="F49" s="20"/>
      <c r="G49" s="21"/>
      <c r="H49" s="20"/>
      <c r="I49" s="21"/>
      <c r="J49" s="20"/>
      <c r="K49" s="20"/>
    </row>
    <row r="50" customFormat="false" ht="15" hidden="false" customHeight="true" outlineLevel="0" collapsed="false">
      <c r="A50" s="20"/>
      <c r="B50" s="20"/>
      <c r="C50" s="21"/>
      <c r="D50" s="20"/>
      <c r="E50" s="20"/>
      <c r="F50" s="20"/>
      <c r="G50" s="21"/>
      <c r="H50" s="20"/>
      <c r="I50" s="21"/>
      <c r="J50" s="20"/>
      <c r="K50" s="20"/>
    </row>
    <row r="51" customFormat="false" ht="15" hidden="false" customHeight="true" outlineLevel="0" collapsed="false">
      <c r="A51" s="20"/>
      <c r="B51" s="20"/>
      <c r="C51" s="21"/>
      <c r="D51" s="20"/>
      <c r="E51" s="20"/>
      <c r="F51" s="20"/>
      <c r="G51" s="21"/>
      <c r="H51" s="20"/>
      <c r="I51" s="21"/>
      <c r="J51" s="20"/>
      <c r="K51" s="20"/>
    </row>
    <row r="52" customFormat="false" ht="15" hidden="false" customHeight="true" outlineLevel="0" collapsed="false">
      <c r="A52" s="20"/>
      <c r="B52" s="20"/>
      <c r="C52" s="21"/>
      <c r="D52" s="20"/>
      <c r="E52" s="20"/>
      <c r="F52" s="20"/>
      <c r="G52" s="21"/>
      <c r="H52" s="20"/>
      <c r="I52" s="21"/>
      <c r="J52" s="20"/>
      <c r="K52" s="20"/>
    </row>
    <row r="53" customFormat="false" ht="15" hidden="false" customHeight="true" outlineLevel="0" collapsed="false">
      <c r="A53" s="20"/>
      <c r="B53" s="20"/>
      <c r="C53" s="21"/>
      <c r="D53" s="20"/>
      <c r="E53" s="20"/>
      <c r="F53" s="20"/>
      <c r="G53" s="21"/>
      <c r="H53" s="20"/>
      <c r="I53" s="21"/>
      <c r="J53" s="20"/>
      <c r="K53" s="20"/>
    </row>
    <row r="54" customFormat="false" ht="15" hidden="false" customHeight="true" outlineLevel="0" collapsed="false">
      <c r="A54" s="20"/>
      <c r="B54" s="20"/>
      <c r="C54" s="21"/>
      <c r="D54" s="20"/>
      <c r="E54" s="20"/>
      <c r="F54" s="20"/>
      <c r="G54" s="21"/>
      <c r="H54" s="20"/>
      <c r="I54" s="21"/>
      <c r="J54" s="20"/>
      <c r="K54" s="20"/>
    </row>
    <row r="55" customFormat="false" ht="15" hidden="false" customHeight="true" outlineLevel="0" collapsed="false">
      <c r="A55" s="20"/>
      <c r="B55" s="20"/>
      <c r="C55" s="21"/>
      <c r="D55" s="20"/>
      <c r="E55" s="20"/>
      <c r="F55" s="20"/>
      <c r="G55" s="21"/>
      <c r="H55" s="20"/>
      <c r="I55" s="21"/>
      <c r="J55" s="20"/>
      <c r="K55" s="20"/>
    </row>
    <row r="56" customFormat="false" ht="15" hidden="false" customHeight="true" outlineLevel="0" collapsed="false">
      <c r="A56" s="20"/>
      <c r="B56" s="20"/>
      <c r="C56" s="21"/>
      <c r="D56" s="20"/>
      <c r="E56" s="20"/>
      <c r="F56" s="20"/>
      <c r="G56" s="21"/>
      <c r="H56" s="20"/>
      <c r="I56" s="21"/>
      <c r="J56" s="20"/>
      <c r="K56" s="20"/>
    </row>
    <row r="57" customFormat="false" ht="15" hidden="false" customHeight="true" outlineLevel="0" collapsed="false">
      <c r="A57" s="20"/>
      <c r="B57" s="20"/>
      <c r="C57" s="21"/>
      <c r="D57" s="20"/>
      <c r="E57" s="20"/>
      <c r="F57" s="20"/>
      <c r="G57" s="21"/>
      <c r="H57" s="20"/>
      <c r="I57" s="21"/>
      <c r="J57" s="20"/>
      <c r="K57" s="20"/>
    </row>
    <row r="58" customFormat="false" ht="15" hidden="false" customHeight="true" outlineLevel="0" collapsed="false">
      <c r="A58" s="20"/>
      <c r="B58" s="20"/>
      <c r="C58" s="21"/>
      <c r="D58" s="20"/>
      <c r="E58" s="20"/>
      <c r="F58" s="20"/>
      <c r="G58" s="21"/>
      <c r="H58" s="20"/>
      <c r="I58" s="21"/>
      <c r="J58" s="20"/>
      <c r="K58" s="20"/>
    </row>
    <row r="59" customFormat="false" ht="15" hidden="false" customHeight="true" outlineLevel="0" collapsed="false">
      <c r="A59" s="20"/>
      <c r="B59" s="20"/>
      <c r="C59" s="21"/>
      <c r="D59" s="20"/>
      <c r="E59" s="20"/>
      <c r="F59" s="20"/>
      <c r="G59" s="21"/>
      <c r="H59" s="20"/>
      <c r="I59" s="21"/>
      <c r="J59" s="20"/>
      <c r="K59" s="20"/>
    </row>
    <row r="60" customFormat="false" ht="15" hidden="false" customHeight="true" outlineLevel="0" collapsed="false">
      <c r="A60" s="20"/>
      <c r="B60" s="20"/>
      <c r="C60" s="21"/>
      <c r="D60" s="20"/>
      <c r="E60" s="20"/>
      <c r="F60" s="20"/>
      <c r="G60" s="21"/>
      <c r="H60" s="20"/>
      <c r="I60" s="21"/>
      <c r="J60" s="20"/>
      <c r="K60" s="20"/>
    </row>
    <row r="61" customFormat="false" ht="15" hidden="false" customHeight="true" outlineLevel="0" collapsed="false">
      <c r="A61" s="20"/>
      <c r="B61" s="20"/>
      <c r="C61" s="21"/>
      <c r="D61" s="20"/>
      <c r="E61" s="20"/>
      <c r="F61" s="20"/>
      <c r="G61" s="21"/>
      <c r="H61" s="20"/>
      <c r="I61" s="21"/>
      <c r="J61" s="20"/>
      <c r="K61" s="20"/>
    </row>
    <row r="62" customFormat="false" ht="15" hidden="false" customHeight="true" outlineLevel="0" collapsed="false">
      <c r="A62" s="20"/>
      <c r="B62" s="20"/>
      <c r="C62" s="21"/>
      <c r="D62" s="20"/>
      <c r="E62" s="20"/>
      <c r="F62" s="20"/>
      <c r="G62" s="21"/>
      <c r="H62" s="20"/>
      <c r="I62" s="21"/>
      <c r="J62" s="20"/>
      <c r="K62" s="20"/>
    </row>
    <row r="63" customFormat="false" ht="15" hidden="false" customHeight="true" outlineLevel="0" collapsed="false">
      <c r="A63" s="20"/>
      <c r="B63" s="20"/>
      <c r="C63" s="21"/>
      <c r="D63" s="20"/>
      <c r="E63" s="20"/>
      <c r="F63" s="20"/>
      <c r="G63" s="21"/>
      <c r="H63" s="20"/>
      <c r="I63" s="21"/>
      <c r="J63" s="20"/>
      <c r="K63" s="20"/>
    </row>
    <row r="64" customFormat="false" ht="15" hidden="false" customHeight="true" outlineLevel="0" collapsed="false">
      <c r="A64" s="20"/>
      <c r="B64" s="20"/>
      <c r="C64" s="21"/>
      <c r="D64" s="20"/>
      <c r="E64" s="20"/>
      <c r="F64" s="20"/>
      <c r="G64" s="21"/>
      <c r="H64" s="20"/>
      <c r="I64" s="21"/>
      <c r="J64" s="20"/>
      <c r="K64" s="20"/>
    </row>
    <row r="65" customFormat="false" ht="15" hidden="false" customHeight="true" outlineLevel="0" collapsed="false">
      <c r="A65" s="20"/>
      <c r="B65" s="20"/>
      <c r="C65" s="21"/>
      <c r="D65" s="20"/>
      <c r="E65" s="20"/>
      <c r="F65" s="20"/>
      <c r="G65" s="21"/>
      <c r="H65" s="20"/>
      <c r="I65" s="21"/>
      <c r="J65" s="20"/>
      <c r="K65" s="20"/>
    </row>
    <row r="66" customFormat="false" ht="15" hidden="false" customHeight="true" outlineLevel="0" collapsed="false">
      <c r="A66" s="20"/>
      <c r="B66" s="20"/>
      <c r="C66" s="21"/>
      <c r="D66" s="20"/>
      <c r="E66" s="20"/>
      <c r="F66" s="20"/>
      <c r="G66" s="21"/>
      <c r="H66" s="20"/>
      <c r="I66" s="21"/>
      <c r="J66" s="20"/>
      <c r="K66" s="20"/>
    </row>
    <row r="67" customFormat="false" ht="15" hidden="false" customHeight="true" outlineLevel="0" collapsed="false">
      <c r="A67" s="20"/>
      <c r="B67" s="20"/>
      <c r="C67" s="21"/>
      <c r="D67" s="20"/>
      <c r="E67" s="20"/>
      <c r="F67" s="20"/>
      <c r="G67" s="21"/>
      <c r="H67" s="20"/>
      <c r="I67" s="21"/>
      <c r="J67" s="20"/>
      <c r="K67" s="20"/>
    </row>
    <row r="68" customFormat="false" ht="15" hidden="false" customHeight="true" outlineLevel="0" collapsed="false">
      <c r="A68" s="20"/>
      <c r="B68" s="20"/>
      <c r="C68" s="21"/>
      <c r="D68" s="20"/>
      <c r="E68" s="20"/>
      <c r="F68" s="20"/>
      <c r="G68" s="21"/>
      <c r="H68" s="20"/>
      <c r="I68" s="21"/>
      <c r="J68" s="20"/>
      <c r="K68" s="20"/>
    </row>
    <row r="69" customFormat="false" ht="15" hidden="false" customHeight="true" outlineLevel="0" collapsed="false">
      <c r="A69" s="20"/>
      <c r="B69" s="20"/>
      <c r="C69" s="21"/>
      <c r="D69" s="20"/>
      <c r="E69" s="20"/>
      <c r="F69" s="20"/>
      <c r="G69" s="21"/>
      <c r="H69" s="20"/>
      <c r="I69" s="21"/>
      <c r="J69" s="20"/>
      <c r="K69" s="20"/>
    </row>
    <row r="70" customFormat="false" ht="15" hidden="false" customHeight="true" outlineLevel="0" collapsed="false">
      <c r="A70" s="20"/>
      <c r="B70" s="20"/>
      <c r="C70" s="21"/>
      <c r="D70" s="20"/>
      <c r="E70" s="20"/>
      <c r="F70" s="20"/>
      <c r="G70" s="21"/>
      <c r="H70" s="20"/>
      <c r="I70" s="21"/>
      <c r="J70" s="20"/>
      <c r="K70" s="20"/>
    </row>
    <row r="71" customFormat="false" ht="15" hidden="false" customHeight="true" outlineLevel="0" collapsed="false">
      <c r="A71" s="20"/>
      <c r="B71" s="20"/>
      <c r="C71" s="21"/>
      <c r="D71" s="20"/>
      <c r="E71" s="20"/>
      <c r="F71" s="20"/>
      <c r="G71" s="21"/>
      <c r="H71" s="20"/>
      <c r="I71" s="21"/>
      <c r="J71" s="20"/>
      <c r="K71" s="20"/>
    </row>
    <row r="72" customFormat="false" ht="15" hidden="false" customHeight="true" outlineLevel="0" collapsed="false">
      <c r="A72" s="20"/>
      <c r="B72" s="20"/>
      <c r="C72" s="21"/>
      <c r="D72" s="20"/>
      <c r="E72" s="20"/>
      <c r="F72" s="20"/>
      <c r="G72" s="21"/>
      <c r="H72" s="20"/>
      <c r="I72" s="21"/>
      <c r="J72" s="20"/>
      <c r="K72" s="20"/>
    </row>
    <row r="73" customFormat="false" ht="15" hidden="false" customHeight="true" outlineLevel="0" collapsed="false">
      <c r="A73" s="20"/>
      <c r="B73" s="20"/>
      <c r="C73" s="21"/>
      <c r="D73" s="20"/>
      <c r="E73" s="20"/>
      <c r="F73" s="20"/>
      <c r="G73" s="21"/>
      <c r="H73" s="20"/>
      <c r="I73" s="21"/>
      <c r="J73" s="20"/>
      <c r="K73" s="20"/>
    </row>
    <row r="74" customFormat="false" ht="15" hidden="false" customHeight="true" outlineLevel="0" collapsed="false">
      <c r="A74" s="20"/>
      <c r="B74" s="20"/>
      <c r="C74" s="21"/>
      <c r="D74" s="20"/>
      <c r="E74" s="20"/>
      <c r="F74" s="20"/>
      <c r="G74" s="21"/>
      <c r="H74" s="20"/>
      <c r="I74" s="21"/>
      <c r="J74" s="20"/>
      <c r="K74" s="20"/>
    </row>
    <row r="75" customFormat="false" ht="15" hidden="false" customHeight="true" outlineLevel="0" collapsed="false">
      <c r="A75" s="20"/>
      <c r="B75" s="20"/>
      <c r="C75" s="21"/>
      <c r="D75" s="20"/>
      <c r="E75" s="20"/>
      <c r="F75" s="20"/>
      <c r="G75" s="21"/>
      <c r="H75" s="20"/>
      <c r="I75" s="21"/>
      <c r="J75" s="20"/>
      <c r="K75" s="20"/>
    </row>
    <row r="76" customFormat="false" ht="15" hidden="false" customHeight="true" outlineLevel="0" collapsed="false">
      <c r="A76" s="20"/>
      <c r="B76" s="20"/>
      <c r="C76" s="21"/>
      <c r="D76" s="20"/>
      <c r="E76" s="20"/>
      <c r="F76" s="20"/>
      <c r="G76" s="21"/>
      <c r="H76" s="20"/>
      <c r="I76" s="21"/>
      <c r="J76" s="20"/>
      <c r="K76" s="20"/>
    </row>
    <row r="77" customFormat="false" ht="15" hidden="false" customHeight="true" outlineLevel="0" collapsed="false">
      <c r="A77" s="20"/>
      <c r="B77" s="20"/>
      <c r="C77" s="21"/>
      <c r="D77" s="20"/>
      <c r="E77" s="20"/>
      <c r="F77" s="20"/>
      <c r="G77" s="21"/>
      <c r="H77" s="20"/>
      <c r="I77" s="21"/>
      <c r="J77" s="20"/>
      <c r="K77" s="20"/>
    </row>
    <row r="78" customFormat="false" ht="15" hidden="false" customHeight="true" outlineLevel="0" collapsed="false">
      <c r="A78" s="20"/>
      <c r="B78" s="20"/>
      <c r="C78" s="21"/>
      <c r="D78" s="20"/>
      <c r="E78" s="20"/>
      <c r="F78" s="20"/>
      <c r="G78" s="21"/>
      <c r="H78" s="20"/>
      <c r="I78" s="21"/>
      <c r="J78" s="20"/>
      <c r="K78" s="20"/>
    </row>
    <row r="79" customFormat="false" ht="15" hidden="false" customHeight="true" outlineLevel="0" collapsed="false">
      <c r="A79" s="20"/>
      <c r="B79" s="20"/>
      <c r="C79" s="21"/>
      <c r="D79" s="20"/>
      <c r="E79" s="20"/>
      <c r="F79" s="20"/>
      <c r="G79" s="21"/>
      <c r="H79" s="20"/>
      <c r="I79" s="21"/>
      <c r="J79" s="20"/>
      <c r="K79" s="20"/>
    </row>
    <row r="80" customFormat="false" ht="15" hidden="false" customHeight="true" outlineLevel="0" collapsed="false">
      <c r="A80" s="20"/>
      <c r="B80" s="20"/>
      <c r="C80" s="21"/>
      <c r="D80" s="20"/>
      <c r="E80" s="20"/>
      <c r="F80" s="20"/>
      <c r="G80" s="21"/>
      <c r="H80" s="20"/>
      <c r="I80" s="21"/>
      <c r="J80" s="20"/>
      <c r="K80" s="20"/>
    </row>
    <row r="81" customFormat="false" ht="15" hidden="false" customHeight="true" outlineLevel="0" collapsed="false">
      <c r="A81" s="20"/>
      <c r="B81" s="20"/>
      <c r="C81" s="21"/>
      <c r="D81" s="20"/>
      <c r="E81" s="20"/>
      <c r="F81" s="20"/>
      <c r="G81" s="21"/>
      <c r="H81" s="20"/>
      <c r="I81" s="21"/>
      <c r="J81" s="20"/>
      <c r="K81" s="20"/>
    </row>
    <row r="82" customFormat="false" ht="15" hidden="false" customHeight="true" outlineLevel="0" collapsed="false">
      <c r="A82" s="20"/>
      <c r="B82" s="20"/>
      <c r="C82" s="21"/>
      <c r="D82" s="20"/>
      <c r="E82" s="20"/>
      <c r="F82" s="20"/>
      <c r="G82" s="21"/>
      <c r="H82" s="20"/>
      <c r="I82" s="21"/>
      <c r="J82" s="20"/>
      <c r="K82" s="20"/>
    </row>
    <row r="83" customFormat="false" ht="15" hidden="false" customHeight="true" outlineLevel="0" collapsed="false">
      <c r="A83" s="20"/>
      <c r="B83" s="20"/>
      <c r="C83" s="21"/>
      <c r="D83" s="20"/>
      <c r="E83" s="20"/>
      <c r="F83" s="20"/>
      <c r="G83" s="21"/>
      <c r="H83" s="20"/>
      <c r="I83" s="21"/>
      <c r="J83" s="20"/>
      <c r="K83" s="20"/>
    </row>
    <row r="84" customFormat="false" ht="15" hidden="false" customHeight="true" outlineLevel="0" collapsed="false">
      <c r="A84" s="20"/>
      <c r="B84" s="20"/>
      <c r="C84" s="21"/>
      <c r="D84" s="20"/>
      <c r="E84" s="20"/>
      <c r="F84" s="20"/>
      <c r="G84" s="21"/>
      <c r="H84" s="20"/>
      <c r="I84" s="21"/>
      <c r="J84" s="20"/>
      <c r="K84" s="20"/>
    </row>
    <row r="85" customFormat="false" ht="15" hidden="false" customHeight="true" outlineLevel="0" collapsed="false">
      <c r="A85" s="20"/>
      <c r="B85" s="20"/>
      <c r="C85" s="21"/>
      <c r="D85" s="20"/>
      <c r="E85" s="20"/>
      <c r="F85" s="20"/>
      <c r="G85" s="21"/>
      <c r="H85" s="20"/>
      <c r="I85" s="21"/>
      <c r="J85" s="20"/>
      <c r="K85" s="20"/>
    </row>
    <row r="86" customFormat="false" ht="15" hidden="false" customHeight="true" outlineLevel="0" collapsed="false">
      <c r="A86" s="20"/>
      <c r="B86" s="20"/>
      <c r="C86" s="21"/>
      <c r="D86" s="20"/>
      <c r="E86" s="20"/>
      <c r="F86" s="20"/>
      <c r="G86" s="21"/>
      <c r="H86" s="20"/>
      <c r="I86" s="21"/>
      <c r="J86" s="20"/>
      <c r="K86" s="20"/>
    </row>
    <row r="87" customFormat="false" ht="15" hidden="false" customHeight="true" outlineLevel="0" collapsed="false">
      <c r="A87" s="20"/>
      <c r="B87" s="20"/>
      <c r="C87" s="21"/>
      <c r="D87" s="20"/>
      <c r="E87" s="20"/>
      <c r="F87" s="20"/>
      <c r="G87" s="21"/>
      <c r="H87" s="20"/>
      <c r="I87" s="21"/>
      <c r="J87" s="20"/>
      <c r="K87" s="20"/>
    </row>
    <row r="88" customFormat="false" ht="15" hidden="false" customHeight="true" outlineLevel="0" collapsed="false">
      <c r="A88" s="20"/>
      <c r="B88" s="20"/>
      <c r="C88" s="21"/>
      <c r="D88" s="20"/>
      <c r="E88" s="20"/>
      <c r="F88" s="20"/>
      <c r="G88" s="21"/>
      <c r="H88" s="20"/>
      <c r="I88" s="21"/>
      <c r="J88" s="20"/>
      <c r="K88" s="20"/>
    </row>
    <row r="89" customFormat="false" ht="15" hidden="false" customHeight="true" outlineLevel="0" collapsed="false">
      <c r="A89" s="20"/>
      <c r="B89" s="20"/>
      <c r="C89" s="21"/>
      <c r="D89" s="20"/>
      <c r="E89" s="20"/>
      <c r="F89" s="20"/>
      <c r="G89" s="21"/>
      <c r="H89" s="20"/>
      <c r="I89" s="21"/>
      <c r="J89" s="20"/>
      <c r="K89" s="20"/>
    </row>
    <row r="90" customFormat="false" ht="15" hidden="false" customHeight="true" outlineLevel="0" collapsed="false">
      <c r="A90" s="20"/>
      <c r="B90" s="20"/>
      <c r="C90" s="21"/>
      <c r="D90" s="20"/>
      <c r="E90" s="20"/>
      <c r="F90" s="20"/>
      <c r="G90" s="21"/>
      <c r="H90" s="20"/>
      <c r="I90" s="21"/>
      <c r="J90" s="20"/>
      <c r="K90" s="20"/>
    </row>
    <row r="91" customFormat="false" ht="15" hidden="false" customHeight="true" outlineLevel="0" collapsed="false">
      <c r="A91" s="20"/>
      <c r="B91" s="20"/>
      <c r="C91" s="21"/>
      <c r="D91" s="20"/>
      <c r="E91" s="20"/>
      <c r="F91" s="20"/>
      <c r="G91" s="21"/>
      <c r="H91" s="20"/>
      <c r="I91" s="21"/>
      <c r="J91" s="20"/>
      <c r="K91" s="20"/>
    </row>
    <row r="92" customFormat="false" ht="15" hidden="false" customHeight="true" outlineLevel="0" collapsed="false">
      <c r="A92" s="20"/>
      <c r="B92" s="20"/>
      <c r="C92" s="21"/>
      <c r="D92" s="20"/>
      <c r="E92" s="20"/>
      <c r="F92" s="20"/>
      <c r="G92" s="21"/>
      <c r="H92" s="20"/>
      <c r="I92" s="21"/>
      <c r="J92" s="20"/>
      <c r="K92" s="20"/>
    </row>
    <row r="93" customFormat="false" ht="15" hidden="false" customHeight="true" outlineLevel="0" collapsed="false">
      <c r="A93" s="20"/>
      <c r="B93" s="20"/>
      <c r="C93" s="21"/>
      <c r="D93" s="20"/>
      <c r="E93" s="20"/>
      <c r="F93" s="20"/>
      <c r="G93" s="21"/>
      <c r="H93" s="20"/>
      <c r="I93" s="21"/>
      <c r="J93" s="20"/>
      <c r="K93" s="20"/>
    </row>
    <row r="94" customFormat="false" ht="15" hidden="false" customHeight="true" outlineLevel="0" collapsed="false">
      <c r="A94" s="20"/>
      <c r="B94" s="20"/>
      <c r="C94" s="21"/>
      <c r="D94" s="20"/>
      <c r="E94" s="20"/>
      <c r="F94" s="20"/>
      <c r="G94" s="21"/>
      <c r="H94" s="20"/>
      <c r="I94" s="21"/>
      <c r="J94" s="20"/>
      <c r="K94" s="20"/>
    </row>
    <row r="95" customFormat="false" ht="15" hidden="false" customHeight="true" outlineLevel="0" collapsed="false">
      <c r="A95" s="20"/>
      <c r="B95" s="20"/>
      <c r="C95" s="21"/>
      <c r="D95" s="20"/>
      <c r="E95" s="20"/>
      <c r="F95" s="20"/>
      <c r="G95" s="21"/>
      <c r="H95" s="20"/>
      <c r="I95" s="21"/>
      <c r="J95" s="20"/>
      <c r="K95" s="20"/>
    </row>
    <row r="96" customFormat="false" ht="15" hidden="false" customHeight="true" outlineLevel="0" collapsed="false">
      <c r="A96" s="20"/>
      <c r="B96" s="20"/>
      <c r="C96" s="21"/>
      <c r="D96" s="20"/>
      <c r="E96" s="20"/>
      <c r="F96" s="20"/>
      <c r="G96" s="21"/>
      <c r="H96" s="20"/>
      <c r="I96" s="21"/>
      <c r="J96" s="20"/>
      <c r="K96" s="20"/>
    </row>
    <row r="97" customFormat="false" ht="15" hidden="false" customHeight="true" outlineLevel="0" collapsed="false">
      <c r="A97" s="20"/>
      <c r="B97" s="20"/>
      <c r="C97" s="21"/>
      <c r="D97" s="20"/>
      <c r="E97" s="20"/>
      <c r="F97" s="20"/>
      <c r="G97" s="21"/>
      <c r="H97" s="20"/>
      <c r="I97" s="21"/>
      <c r="J97" s="20"/>
      <c r="K97" s="20"/>
    </row>
    <row r="98" customFormat="false" ht="15" hidden="false" customHeight="true" outlineLevel="0" collapsed="false">
      <c r="A98" s="20"/>
      <c r="B98" s="20"/>
      <c r="C98" s="21"/>
      <c r="D98" s="20"/>
      <c r="E98" s="20"/>
      <c r="F98" s="20"/>
      <c r="G98" s="21"/>
      <c r="H98" s="20"/>
      <c r="I98" s="21"/>
      <c r="J98" s="20"/>
      <c r="K98" s="20"/>
    </row>
    <row r="99" customFormat="false" ht="15" hidden="false" customHeight="true" outlineLevel="0" collapsed="false">
      <c r="A99" s="20"/>
      <c r="B99" s="20"/>
      <c r="C99" s="21"/>
      <c r="D99" s="20"/>
      <c r="E99" s="20"/>
      <c r="F99" s="20"/>
      <c r="G99" s="21"/>
      <c r="H99" s="20"/>
      <c r="I99" s="21"/>
      <c r="J99" s="20"/>
      <c r="K99" s="20"/>
    </row>
    <row r="100" customFormat="false" ht="15" hidden="false" customHeight="true" outlineLevel="0" collapsed="false">
      <c r="A100" s="20"/>
      <c r="B100" s="20"/>
      <c r="C100" s="21"/>
      <c r="D100" s="20"/>
      <c r="E100" s="20"/>
      <c r="F100" s="20"/>
      <c r="G100" s="21"/>
      <c r="H100" s="20"/>
      <c r="I100" s="21"/>
      <c r="J100" s="20"/>
      <c r="K100" s="20"/>
    </row>
    <row r="101" customFormat="false" ht="15" hidden="false" customHeight="true" outlineLevel="0" collapsed="false">
      <c r="A101" s="20"/>
      <c r="B101" s="20"/>
      <c r="C101" s="21"/>
      <c r="D101" s="20"/>
      <c r="E101" s="20"/>
      <c r="F101" s="20"/>
      <c r="G101" s="21"/>
      <c r="H101" s="20"/>
      <c r="I101" s="21"/>
      <c r="J101" s="20"/>
      <c r="K101" s="20"/>
    </row>
    <row r="102" customFormat="false" ht="15" hidden="false" customHeight="true" outlineLevel="0" collapsed="false">
      <c r="A102" s="20"/>
      <c r="B102" s="20"/>
      <c r="C102" s="21"/>
      <c r="D102" s="20"/>
      <c r="E102" s="20"/>
      <c r="F102" s="20"/>
      <c r="G102" s="21"/>
      <c r="H102" s="20"/>
      <c r="I102" s="21"/>
      <c r="J102" s="20"/>
      <c r="K102" s="20"/>
    </row>
    <row r="103" customFormat="false" ht="15" hidden="false" customHeight="true" outlineLevel="0" collapsed="false">
      <c r="A103" s="20"/>
      <c r="B103" s="20"/>
      <c r="C103" s="21"/>
      <c r="D103" s="20"/>
      <c r="E103" s="20"/>
      <c r="F103" s="20"/>
      <c r="G103" s="21"/>
      <c r="H103" s="20"/>
      <c r="I103" s="21"/>
      <c r="J103" s="20"/>
      <c r="K103" s="20"/>
    </row>
    <row r="104" customFormat="false" ht="15" hidden="false" customHeight="true" outlineLevel="0" collapsed="false">
      <c r="A104" s="20"/>
      <c r="B104" s="20"/>
      <c r="C104" s="21"/>
      <c r="D104" s="20"/>
      <c r="E104" s="20"/>
      <c r="F104" s="20"/>
      <c r="G104" s="21"/>
      <c r="H104" s="20"/>
      <c r="I104" s="21"/>
      <c r="J104" s="20"/>
      <c r="K104" s="20"/>
    </row>
  </sheetData>
  <conditionalFormatting sqref="J5:J104">
    <cfRule type="cellIs" priority="2" operator="equal" aboveAverage="0" equalAverage="0" bottom="0" percent="0" rank="0" text="" dxfId="3">
      <formula>"Open"</formula>
    </cfRule>
    <cfRule type="cellIs" priority="3" operator="equal" aboveAverage="0" equalAverage="0" bottom="0" percent="0" rank="0" text="" dxfId="4">
      <formula>"Monitoring"</formula>
    </cfRule>
    <cfRule type="cellIs" priority="4" operator="equal" aboveAverage="0" equalAverage="0" bottom="0" percent="0" rank="0" text="" dxfId="2">
      <formula>"Resolved"</formula>
    </cfRule>
  </conditionalFormatting>
  <dataValidations count="1">
    <dataValidation allowBlank="true" errorStyle="stop" operator="between" showDropDown="false" showErrorMessage="false" showInputMessage="false" sqref="J5:J104" type="list">
      <formula1>"Open,Resolved,Monitoring"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9" min="8" style="1" width="16"/>
    <col collapsed="false" customWidth="true" hidden="false" outlineLevel="0" max="10" min="10" style="1" width="22"/>
    <col collapsed="false" customWidth="true" hidden="false" outlineLevel="0" max="11" min="11" style="1" width="24"/>
  </cols>
  <sheetData>
    <row r="1" customFormat="false" ht="17.25" hidden="false" customHeight="true" outlineLevel="0" collapsed="false">
      <c r="A1" s="2" t="s">
        <v>190</v>
      </c>
    </row>
    <row r="2" customFormat="false" ht="15" hidden="false" customHeight="true" outlineLevel="0" collapsed="false">
      <c r="A2" s="3" t="s">
        <v>191</v>
      </c>
    </row>
    <row r="4" customFormat="false" ht="23.25" hidden="false" customHeight="true" outlineLevel="0" collapsed="false">
      <c r="A4" s="9" t="s">
        <v>29</v>
      </c>
      <c r="B4" s="9" t="s">
        <v>32</v>
      </c>
      <c r="C4" s="9" t="s">
        <v>192</v>
      </c>
      <c r="D4" s="9" t="s">
        <v>193</v>
      </c>
      <c r="E4" s="9" t="s">
        <v>194</v>
      </c>
      <c r="F4" s="9" t="s">
        <v>195</v>
      </c>
      <c r="G4" s="9" t="s">
        <v>196</v>
      </c>
      <c r="H4" s="9" t="s">
        <v>197</v>
      </c>
      <c r="I4" s="9" t="s">
        <v>198</v>
      </c>
      <c r="J4" s="9" t="s">
        <v>39</v>
      </c>
      <c r="K4" s="9" t="s">
        <v>42</v>
      </c>
    </row>
    <row r="5" customFormat="false" ht="15" hidden="false" customHeight="true" outlineLevel="0" collapsed="false">
      <c r="A5" s="20" t="s">
        <v>54</v>
      </c>
      <c r="B5" s="20" t="n">
        <v>10048811234</v>
      </c>
      <c r="C5" s="21" t="n">
        <v>46178</v>
      </c>
      <c r="D5" s="20" t="s">
        <v>199</v>
      </c>
      <c r="E5" s="20" t="s">
        <v>200</v>
      </c>
      <c r="F5" s="21" t="n">
        <v>46179</v>
      </c>
      <c r="G5" s="21" t="n">
        <v>46193</v>
      </c>
      <c r="H5" s="20" t="s">
        <v>201</v>
      </c>
      <c r="I5" s="21"/>
      <c r="J5" s="20" t="s">
        <v>202</v>
      </c>
      <c r="K5" s="20" t="s">
        <v>203</v>
      </c>
    </row>
    <row r="6" customFormat="false" ht="15" hidden="false" customHeight="true" outlineLevel="0" collapsed="false">
      <c r="A6" s="20" t="s">
        <v>63</v>
      </c>
      <c r="B6" s="20" t="n">
        <v>10053322190</v>
      </c>
      <c r="C6" s="21" t="n">
        <v>46091</v>
      </c>
      <c r="D6" s="20" t="s">
        <v>204</v>
      </c>
      <c r="E6" s="20" t="s">
        <v>205</v>
      </c>
      <c r="F6" s="21" t="n">
        <v>46092</v>
      </c>
      <c r="G6" s="21" t="n">
        <v>46096</v>
      </c>
      <c r="H6" s="20" t="s">
        <v>206</v>
      </c>
      <c r="I6" s="21" t="n">
        <v>46109</v>
      </c>
      <c r="J6" s="20" t="s">
        <v>207</v>
      </c>
      <c r="K6" s="20" t="s">
        <v>208</v>
      </c>
    </row>
    <row r="7" customFormat="false" ht="15" hidden="false" customHeight="true" outlineLevel="0" collapsed="false">
      <c r="A7" s="20" t="s">
        <v>85</v>
      </c>
      <c r="B7" s="20" t="n">
        <v>10050099887</v>
      </c>
      <c r="C7" s="21" t="n">
        <v>46154</v>
      </c>
      <c r="D7" s="20" t="s">
        <v>209</v>
      </c>
      <c r="E7" s="20" t="s">
        <v>210</v>
      </c>
      <c r="F7" s="21" t="n">
        <v>46155</v>
      </c>
      <c r="G7" s="21" t="n">
        <v>46172</v>
      </c>
      <c r="H7" s="20" t="s">
        <v>201</v>
      </c>
      <c r="I7" s="21"/>
      <c r="J7" s="20" t="s">
        <v>211</v>
      </c>
      <c r="K7" s="20" t="s">
        <v>212</v>
      </c>
    </row>
    <row r="8" customFormat="false" ht="15" hidden="false" customHeight="true" outlineLevel="0" collapsed="false">
      <c r="A8" s="20" t="s">
        <v>80</v>
      </c>
      <c r="B8" s="20" t="n">
        <v>10041122334</v>
      </c>
      <c r="C8" s="21" t="n">
        <v>46011</v>
      </c>
      <c r="D8" s="20" t="s">
        <v>213</v>
      </c>
      <c r="E8" s="20" t="s">
        <v>214</v>
      </c>
      <c r="F8" s="21" t="n">
        <v>46013</v>
      </c>
      <c r="G8" s="21" t="n">
        <v>46027</v>
      </c>
      <c r="H8" s="20" t="s">
        <v>215</v>
      </c>
      <c r="I8" s="21" t="n">
        <v>46032</v>
      </c>
      <c r="J8" s="20" t="s">
        <v>216</v>
      </c>
      <c r="K8" s="20" t="s">
        <v>217</v>
      </c>
    </row>
    <row r="9" customFormat="false" ht="15" hidden="false" customHeight="true" outlineLevel="0" collapsed="false">
      <c r="A9" s="20"/>
      <c r="B9" s="20"/>
      <c r="C9" s="21"/>
      <c r="D9" s="20"/>
      <c r="E9" s="20"/>
      <c r="F9" s="21"/>
      <c r="G9" s="21"/>
      <c r="H9" s="20"/>
      <c r="I9" s="21"/>
      <c r="J9" s="20"/>
      <c r="K9" s="20"/>
    </row>
    <row r="10" customFormat="false" ht="15" hidden="false" customHeight="true" outlineLevel="0" collapsed="false">
      <c r="A10" s="20"/>
      <c r="B10" s="20"/>
      <c r="C10" s="21"/>
      <c r="D10" s="20"/>
      <c r="E10" s="20"/>
      <c r="F10" s="21"/>
      <c r="G10" s="21"/>
      <c r="H10" s="20"/>
      <c r="I10" s="21"/>
      <c r="J10" s="20"/>
      <c r="K10" s="20"/>
    </row>
    <row r="11" customFormat="false" ht="15" hidden="false" customHeight="true" outlineLevel="0" collapsed="false">
      <c r="A11" s="20"/>
      <c r="B11" s="20"/>
      <c r="C11" s="21"/>
      <c r="D11" s="20"/>
      <c r="E11" s="20"/>
      <c r="F11" s="21"/>
      <c r="G11" s="21"/>
      <c r="H11" s="20"/>
      <c r="I11" s="21"/>
      <c r="J11" s="20"/>
      <c r="K11" s="20"/>
    </row>
    <row r="12" customFormat="false" ht="15" hidden="false" customHeight="true" outlineLevel="0" collapsed="false">
      <c r="A12" s="20"/>
      <c r="B12" s="20"/>
      <c r="C12" s="21"/>
      <c r="D12" s="20"/>
      <c r="E12" s="20"/>
      <c r="F12" s="21"/>
      <c r="G12" s="21"/>
      <c r="H12" s="20"/>
      <c r="I12" s="21"/>
      <c r="J12" s="20"/>
      <c r="K12" s="20"/>
    </row>
    <row r="13" customFormat="false" ht="15" hidden="false" customHeight="true" outlineLevel="0" collapsed="false">
      <c r="A13" s="20"/>
      <c r="B13" s="20"/>
      <c r="C13" s="21"/>
      <c r="D13" s="20"/>
      <c r="E13" s="20"/>
      <c r="F13" s="21"/>
      <c r="G13" s="21"/>
      <c r="H13" s="20"/>
      <c r="I13" s="21"/>
      <c r="J13" s="20"/>
      <c r="K13" s="20"/>
    </row>
    <row r="14" customFormat="false" ht="15" hidden="false" customHeight="true" outlineLevel="0" collapsed="false">
      <c r="A14" s="20"/>
      <c r="B14" s="20"/>
      <c r="C14" s="21"/>
      <c r="D14" s="20"/>
      <c r="E14" s="20"/>
      <c r="F14" s="21"/>
      <c r="G14" s="21"/>
      <c r="H14" s="20"/>
      <c r="I14" s="21"/>
      <c r="J14" s="20"/>
      <c r="K14" s="20"/>
    </row>
    <row r="15" customFormat="false" ht="15" hidden="false" customHeight="true" outlineLevel="0" collapsed="false">
      <c r="A15" s="20"/>
      <c r="B15" s="20"/>
      <c r="C15" s="21"/>
      <c r="D15" s="20"/>
      <c r="E15" s="20"/>
      <c r="F15" s="21"/>
      <c r="G15" s="21"/>
      <c r="H15" s="20"/>
      <c r="I15" s="21"/>
      <c r="J15" s="20"/>
      <c r="K15" s="20"/>
    </row>
    <row r="16" customFormat="false" ht="15" hidden="false" customHeight="true" outlineLevel="0" collapsed="false">
      <c r="A16" s="20"/>
      <c r="B16" s="20"/>
      <c r="C16" s="21"/>
      <c r="D16" s="20"/>
      <c r="E16" s="20"/>
      <c r="F16" s="21"/>
      <c r="G16" s="21"/>
      <c r="H16" s="20"/>
      <c r="I16" s="21"/>
      <c r="J16" s="20"/>
      <c r="K16" s="20"/>
    </row>
    <row r="17" customFormat="false" ht="15" hidden="false" customHeight="true" outlineLevel="0" collapsed="false">
      <c r="A17" s="20"/>
      <c r="B17" s="20"/>
      <c r="C17" s="21"/>
      <c r="D17" s="20"/>
      <c r="E17" s="20"/>
      <c r="F17" s="21"/>
      <c r="G17" s="21"/>
      <c r="H17" s="20"/>
      <c r="I17" s="21"/>
      <c r="J17" s="20"/>
      <c r="K17" s="20"/>
    </row>
    <row r="18" customFormat="false" ht="15" hidden="false" customHeight="true" outlineLevel="0" collapsed="false">
      <c r="A18" s="20"/>
      <c r="B18" s="20"/>
      <c r="C18" s="21"/>
      <c r="D18" s="20"/>
      <c r="E18" s="20"/>
      <c r="F18" s="21"/>
      <c r="G18" s="21"/>
      <c r="H18" s="20"/>
      <c r="I18" s="21"/>
      <c r="J18" s="20"/>
      <c r="K18" s="20"/>
    </row>
    <row r="19" customFormat="false" ht="15" hidden="false" customHeight="true" outlineLevel="0" collapsed="false">
      <c r="A19" s="20"/>
      <c r="B19" s="20"/>
      <c r="C19" s="21"/>
      <c r="D19" s="20"/>
      <c r="E19" s="20"/>
      <c r="F19" s="21"/>
      <c r="G19" s="21"/>
      <c r="H19" s="20"/>
      <c r="I19" s="21"/>
      <c r="J19" s="20"/>
      <c r="K19" s="20"/>
    </row>
    <row r="20" customFormat="false" ht="15" hidden="false" customHeight="true" outlineLevel="0" collapsed="false">
      <c r="A20" s="20"/>
      <c r="B20" s="20"/>
      <c r="C20" s="21"/>
      <c r="D20" s="20"/>
      <c r="E20" s="20"/>
      <c r="F20" s="21"/>
      <c r="G20" s="21"/>
      <c r="H20" s="20"/>
      <c r="I20" s="21"/>
      <c r="J20" s="20"/>
      <c r="K20" s="20"/>
    </row>
    <row r="21" customFormat="false" ht="15" hidden="false" customHeight="true" outlineLevel="0" collapsed="false">
      <c r="A21" s="20"/>
      <c r="B21" s="20"/>
      <c r="C21" s="21"/>
      <c r="D21" s="20"/>
      <c r="E21" s="20"/>
      <c r="F21" s="21"/>
      <c r="G21" s="21"/>
      <c r="H21" s="20"/>
      <c r="I21" s="21"/>
      <c r="J21" s="20"/>
      <c r="K21" s="20"/>
    </row>
    <row r="22" customFormat="false" ht="15" hidden="false" customHeight="true" outlineLevel="0" collapsed="false">
      <c r="A22" s="20"/>
      <c r="B22" s="20"/>
      <c r="C22" s="21"/>
      <c r="D22" s="20"/>
      <c r="E22" s="20"/>
      <c r="F22" s="21"/>
      <c r="G22" s="21"/>
      <c r="H22" s="20"/>
      <c r="I22" s="21"/>
      <c r="J22" s="20"/>
      <c r="K22" s="20"/>
    </row>
    <row r="23" customFormat="false" ht="15" hidden="false" customHeight="true" outlineLevel="0" collapsed="false">
      <c r="A23" s="20"/>
      <c r="B23" s="20"/>
      <c r="C23" s="21"/>
      <c r="D23" s="20"/>
      <c r="E23" s="20"/>
      <c r="F23" s="21"/>
      <c r="G23" s="21"/>
      <c r="H23" s="20"/>
      <c r="I23" s="21"/>
      <c r="J23" s="20"/>
      <c r="K23" s="20"/>
    </row>
    <row r="24" customFormat="false" ht="15" hidden="false" customHeight="true" outlineLevel="0" collapsed="false">
      <c r="A24" s="20"/>
      <c r="B24" s="20"/>
      <c r="C24" s="21"/>
      <c r="D24" s="20"/>
      <c r="E24" s="20"/>
      <c r="F24" s="21"/>
      <c r="G24" s="21"/>
      <c r="H24" s="20"/>
      <c r="I24" s="21"/>
      <c r="J24" s="20"/>
      <c r="K24" s="20"/>
    </row>
    <row r="25" customFormat="false" ht="15" hidden="false" customHeight="true" outlineLevel="0" collapsed="false">
      <c r="A25" s="20"/>
      <c r="B25" s="20"/>
      <c r="C25" s="21"/>
      <c r="D25" s="20"/>
      <c r="E25" s="20"/>
      <c r="F25" s="21"/>
      <c r="G25" s="21"/>
      <c r="H25" s="20"/>
      <c r="I25" s="21"/>
      <c r="J25" s="20"/>
      <c r="K25" s="20"/>
    </row>
    <row r="26" customFormat="false" ht="15" hidden="false" customHeight="true" outlineLevel="0" collapsed="false">
      <c r="A26" s="20"/>
      <c r="B26" s="20"/>
      <c r="C26" s="21"/>
      <c r="D26" s="20"/>
      <c r="E26" s="20"/>
      <c r="F26" s="21"/>
      <c r="G26" s="21"/>
      <c r="H26" s="20"/>
      <c r="I26" s="21"/>
      <c r="J26" s="20"/>
      <c r="K26" s="20"/>
    </row>
    <row r="27" customFormat="false" ht="15" hidden="false" customHeight="true" outlineLevel="0" collapsed="false">
      <c r="A27" s="20"/>
      <c r="B27" s="20"/>
      <c r="C27" s="21"/>
      <c r="D27" s="20"/>
      <c r="E27" s="20"/>
      <c r="F27" s="21"/>
      <c r="G27" s="21"/>
      <c r="H27" s="20"/>
      <c r="I27" s="21"/>
      <c r="J27" s="20"/>
      <c r="K27" s="20"/>
    </row>
    <row r="28" customFormat="false" ht="15" hidden="false" customHeight="true" outlineLevel="0" collapsed="false">
      <c r="A28" s="20"/>
      <c r="B28" s="20"/>
      <c r="C28" s="21"/>
      <c r="D28" s="20"/>
      <c r="E28" s="20"/>
      <c r="F28" s="21"/>
      <c r="G28" s="21"/>
      <c r="H28" s="20"/>
      <c r="I28" s="21"/>
      <c r="J28" s="20"/>
      <c r="K28" s="20"/>
    </row>
    <row r="29" customFormat="false" ht="15" hidden="false" customHeight="true" outlineLevel="0" collapsed="false">
      <c r="A29" s="20"/>
      <c r="B29" s="20"/>
      <c r="C29" s="21"/>
      <c r="D29" s="20"/>
      <c r="E29" s="20"/>
      <c r="F29" s="21"/>
      <c r="G29" s="21"/>
      <c r="H29" s="20"/>
      <c r="I29" s="21"/>
      <c r="J29" s="20"/>
      <c r="K29" s="20"/>
    </row>
    <row r="30" customFormat="false" ht="15" hidden="false" customHeight="true" outlineLevel="0" collapsed="false">
      <c r="A30" s="20"/>
      <c r="B30" s="20"/>
      <c r="C30" s="21"/>
      <c r="D30" s="20"/>
      <c r="E30" s="20"/>
      <c r="F30" s="21"/>
      <c r="G30" s="21"/>
      <c r="H30" s="20"/>
      <c r="I30" s="21"/>
      <c r="J30" s="20"/>
      <c r="K30" s="20"/>
    </row>
    <row r="31" customFormat="false" ht="15" hidden="false" customHeight="true" outlineLevel="0" collapsed="false">
      <c r="A31" s="20"/>
      <c r="B31" s="20"/>
      <c r="C31" s="21"/>
      <c r="D31" s="20"/>
      <c r="E31" s="20"/>
      <c r="F31" s="21"/>
      <c r="G31" s="21"/>
      <c r="H31" s="20"/>
      <c r="I31" s="21"/>
      <c r="J31" s="20"/>
      <c r="K31" s="20"/>
    </row>
    <row r="32" customFormat="false" ht="15" hidden="false" customHeight="true" outlineLevel="0" collapsed="false">
      <c r="A32" s="20"/>
      <c r="B32" s="20"/>
      <c r="C32" s="21"/>
      <c r="D32" s="20"/>
      <c r="E32" s="20"/>
      <c r="F32" s="21"/>
      <c r="G32" s="21"/>
      <c r="H32" s="20"/>
      <c r="I32" s="21"/>
      <c r="J32" s="20"/>
      <c r="K32" s="20"/>
    </row>
    <row r="33" customFormat="false" ht="15" hidden="false" customHeight="true" outlineLevel="0" collapsed="false">
      <c r="A33" s="20"/>
      <c r="B33" s="20"/>
      <c r="C33" s="21"/>
      <c r="D33" s="20"/>
      <c r="E33" s="20"/>
      <c r="F33" s="21"/>
      <c r="G33" s="21"/>
      <c r="H33" s="20"/>
      <c r="I33" s="21"/>
      <c r="J33" s="20"/>
      <c r="K33" s="20"/>
    </row>
    <row r="34" customFormat="false" ht="15" hidden="false" customHeight="true" outlineLevel="0" collapsed="false">
      <c r="A34" s="20"/>
      <c r="B34" s="20"/>
      <c r="C34" s="21"/>
      <c r="D34" s="20"/>
      <c r="E34" s="20"/>
      <c r="F34" s="21"/>
      <c r="G34" s="21"/>
      <c r="H34" s="20"/>
      <c r="I34" s="21"/>
      <c r="J34" s="20"/>
      <c r="K34" s="20"/>
    </row>
    <row r="35" customFormat="false" ht="15" hidden="false" customHeight="true" outlineLevel="0" collapsed="false">
      <c r="A35" s="20"/>
      <c r="B35" s="20"/>
      <c r="C35" s="21"/>
      <c r="D35" s="20"/>
      <c r="E35" s="20"/>
      <c r="F35" s="21"/>
      <c r="G35" s="21"/>
      <c r="H35" s="20"/>
      <c r="I35" s="21"/>
      <c r="J35" s="20"/>
      <c r="K35" s="20"/>
    </row>
    <row r="36" customFormat="false" ht="15" hidden="false" customHeight="true" outlineLevel="0" collapsed="false">
      <c r="A36" s="20"/>
      <c r="B36" s="20"/>
      <c r="C36" s="21"/>
      <c r="D36" s="20"/>
      <c r="E36" s="20"/>
      <c r="F36" s="21"/>
      <c r="G36" s="21"/>
      <c r="H36" s="20"/>
      <c r="I36" s="21"/>
      <c r="J36" s="20"/>
      <c r="K36" s="20"/>
    </row>
    <row r="37" customFormat="false" ht="15" hidden="false" customHeight="true" outlineLevel="0" collapsed="false">
      <c r="A37" s="20"/>
      <c r="B37" s="20"/>
      <c r="C37" s="21"/>
      <c r="D37" s="20"/>
      <c r="E37" s="20"/>
      <c r="F37" s="21"/>
      <c r="G37" s="21"/>
      <c r="H37" s="20"/>
      <c r="I37" s="21"/>
      <c r="J37" s="20"/>
      <c r="K37" s="20"/>
    </row>
    <row r="38" customFormat="false" ht="15" hidden="false" customHeight="true" outlineLevel="0" collapsed="false">
      <c r="A38" s="20"/>
      <c r="B38" s="20"/>
      <c r="C38" s="21"/>
      <c r="D38" s="20"/>
      <c r="E38" s="20"/>
      <c r="F38" s="21"/>
      <c r="G38" s="21"/>
      <c r="H38" s="20"/>
      <c r="I38" s="21"/>
      <c r="J38" s="20"/>
      <c r="K38" s="20"/>
    </row>
    <row r="39" customFormat="false" ht="15" hidden="false" customHeight="true" outlineLevel="0" collapsed="false">
      <c r="A39" s="20"/>
      <c r="B39" s="20"/>
      <c r="C39" s="21"/>
      <c r="D39" s="20"/>
      <c r="E39" s="20"/>
      <c r="F39" s="21"/>
      <c r="G39" s="21"/>
      <c r="H39" s="20"/>
      <c r="I39" s="21"/>
      <c r="J39" s="20"/>
      <c r="K39" s="20"/>
    </row>
    <row r="40" customFormat="false" ht="15" hidden="false" customHeight="true" outlineLevel="0" collapsed="false">
      <c r="A40" s="20"/>
      <c r="B40" s="20"/>
      <c r="C40" s="21"/>
      <c r="D40" s="20"/>
      <c r="E40" s="20"/>
      <c r="F40" s="21"/>
      <c r="G40" s="21"/>
      <c r="H40" s="20"/>
      <c r="I40" s="21"/>
      <c r="J40" s="20"/>
      <c r="K40" s="20"/>
    </row>
    <row r="41" customFormat="false" ht="15" hidden="false" customHeight="true" outlineLevel="0" collapsed="false">
      <c r="A41" s="20"/>
      <c r="B41" s="20"/>
      <c r="C41" s="21"/>
      <c r="D41" s="20"/>
      <c r="E41" s="20"/>
      <c r="F41" s="21"/>
      <c r="G41" s="21"/>
      <c r="H41" s="20"/>
      <c r="I41" s="21"/>
      <c r="J41" s="20"/>
      <c r="K41" s="20"/>
    </row>
    <row r="42" customFormat="false" ht="15" hidden="false" customHeight="true" outlineLevel="0" collapsed="false">
      <c r="A42" s="20"/>
      <c r="B42" s="20"/>
      <c r="C42" s="21"/>
      <c r="D42" s="20"/>
      <c r="E42" s="20"/>
      <c r="F42" s="21"/>
      <c r="G42" s="21"/>
      <c r="H42" s="20"/>
      <c r="I42" s="21"/>
      <c r="J42" s="20"/>
      <c r="K42" s="20"/>
    </row>
    <row r="43" customFormat="false" ht="15" hidden="false" customHeight="true" outlineLevel="0" collapsed="false">
      <c r="A43" s="20"/>
      <c r="B43" s="20"/>
      <c r="C43" s="21"/>
      <c r="D43" s="20"/>
      <c r="E43" s="20"/>
      <c r="F43" s="21"/>
      <c r="G43" s="21"/>
      <c r="H43" s="20"/>
      <c r="I43" s="21"/>
      <c r="J43" s="20"/>
      <c r="K43" s="20"/>
    </row>
    <row r="44" customFormat="false" ht="15" hidden="false" customHeight="true" outlineLevel="0" collapsed="false">
      <c r="A44" s="20"/>
      <c r="B44" s="20"/>
      <c r="C44" s="21"/>
      <c r="D44" s="20"/>
      <c r="E44" s="20"/>
      <c r="F44" s="21"/>
      <c r="G44" s="21"/>
      <c r="H44" s="20"/>
      <c r="I44" s="21"/>
      <c r="J44" s="20"/>
      <c r="K44" s="20"/>
    </row>
    <row r="45" customFormat="false" ht="15" hidden="false" customHeight="true" outlineLevel="0" collapsed="false">
      <c r="A45" s="20"/>
      <c r="B45" s="20"/>
      <c r="C45" s="21"/>
      <c r="D45" s="20"/>
      <c r="E45" s="20"/>
      <c r="F45" s="21"/>
      <c r="G45" s="21"/>
      <c r="H45" s="20"/>
      <c r="I45" s="21"/>
      <c r="J45" s="20"/>
      <c r="K45" s="20"/>
    </row>
    <row r="46" customFormat="false" ht="15" hidden="false" customHeight="true" outlineLevel="0" collapsed="false">
      <c r="A46" s="20"/>
      <c r="B46" s="20"/>
      <c r="C46" s="21"/>
      <c r="D46" s="20"/>
      <c r="E46" s="20"/>
      <c r="F46" s="21"/>
      <c r="G46" s="21"/>
      <c r="H46" s="20"/>
      <c r="I46" s="21"/>
      <c r="J46" s="20"/>
      <c r="K46" s="20"/>
    </row>
    <row r="47" customFormat="false" ht="15" hidden="false" customHeight="true" outlineLevel="0" collapsed="false">
      <c r="A47" s="20"/>
      <c r="B47" s="20"/>
      <c r="C47" s="21"/>
      <c r="D47" s="20"/>
      <c r="E47" s="20"/>
      <c r="F47" s="21"/>
      <c r="G47" s="21"/>
      <c r="H47" s="20"/>
      <c r="I47" s="21"/>
      <c r="J47" s="20"/>
      <c r="K47" s="20"/>
    </row>
    <row r="48" customFormat="false" ht="15" hidden="false" customHeight="true" outlineLevel="0" collapsed="false">
      <c r="A48" s="20"/>
      <c r="B48" s="20"/>
      <c r="C48" s="21"/>
      <c r="D48" s="20"/>
      <c r="E48" s="20"/>
      <c r="F48" s="21"/>
      <c r="G48" s="21"/>
      <c r="H48" s="20"/>
      <c r="I48" s="21"/>
      <c r="J48" s="20"/>
      <c r="K48" s="20"/>
    </row>
    <row r="49" customFormat="false" ht="15" hidden="false" customHeight="true" outlineLevel="0" collapsed="false">
      <c r="A49" s="20"/>
      <c r="B49" s="20"/>
      <c r="C49" s="21"/>
      <c r="D49" s="20"/>
      <c r="E49" s="20"/>
      <c r="F49" s="21"/>
      <c r="G49" s="21"/>
      <c r="H49" s="20"/>
      <c r="I49" s="21"/>
      <c r="J49" s="20"/>
      <c r="K49" s="20"/>
    </row>
    <row r="50" customFormat="false" ht="15" hidden="false" customHeight="true" outlineLevel="0" collapsed="false">
      <c r="A50" s="20"/>
      <c r="B50" s="20"/>
      <c r="C50" s="21"/>
      <c r="D50" s="20"/>
      <c r="E50" s="20"/>
      <c r="F50" s="21"/>
      <c r="G50" s="21"/>
      <c r="H50" s="20"/>
      <c r="I50" s="21"/>
      <c r="J50" s="20"/>
      <c r="K50" s="20"/>
    </row>
    <row r="51" customFormat="false" ht="15" hidden="false" customHeight="true" outlineLevel="0" collapsed="false">
      <c r="A51" s="20"/>
      <c r="B51" s="20"/>
      <c r="C51" s="21"/>
      <c r="D51" s="20"/>
      <c r="E51" s="20"/>
      <c r="F51" s="21"/>
      <c r="G51" s="21"/>
      <c r="H51" s="20"/>
      <c r="I51" s="21"/>
      <c r="J51" s="20"/>
      <c r="K51" s="20"/>
    </row>
    <row r="52" customFormat="false" ht="15" hidden="false" customHeight="true" outlineLevel="0" collapsed="false">
      <c r="A52" s="20"/>
      <c r="B52" s="20"/>
      <c r="C52" s="21"/>
      <c r="D52" s="20"/>
      <c r="E52" s="20"/>
      <c r="F52" s="21"/>
      <c r="G52" s="21"/>
      <c r="H52" s="20"/>
      <c r="I52" s="21"/>
      <c r="J52" s="20"/>
      <c r="K52" s="20"/>
    </row>
    <row r="53" customFormat="false" ht="15" hidden="false" customHeight="true" outlineLevel="0" collapsed="false">
      <c r="A53" s="20"/>
      <c r="B53" s="20"/>
      <c r="C53" s="21"/>
      <c r="D53" s="20"/>
      <c r="E53" s="20"/>
      <c r="F53" s="21"/>
      <c r="G53" s="21"/>
      <c r="H53" s="20"/>
      <c r="I53" s="21"/>
      <c r="J53" s="20"/>
      <c r="K53" s="20"/>
    </row>
    <row r="54" customFormat="false" ht="15" hidden="false" customHeight="true" outlineLevel="0" collapsed="false">
      <c r="A54" s="20"/>
      <c r="B54" s="20"/>
      <c r="C54" s="21"/>
      <c r="D54" s="20"/>
      <c r="E54" s="20"/>
      <c r="F54" s="21"/>
      <c r="G54" s="21"/>
      <c r="H54" s="20"/>
      <c r="I54" s="21"/>
      <c r="J54" s="20"/>
      <c r="K54" s="20"/>
    </row>
    <row r="55" customFormat="false" ht="15" hidden="false" customHeight="true" outlineLevel="0" collapsed="false">
      <c r="A55" s="20"/>
      <c r="B55" s="20"/>
      <c r="C55" s="21"/>
      <c r="D55" s="20"/>
      <c r="E55" s="20"/>
      <c r="F55" s="21"/>
      <c r="G55" s="21"/>
      <c r="H55" s="20"/>
      <c r="I55" s="21"/>
      <c r="J55" s="20"/>
      <c r="K55" s="20"/>
    </row>
    <row r="56" customFormat="false" ht="15" hidden="false" customHeight="true" outlineLevel="0" collapsed="false">
      <c r="A56" s="20"/>
      <c r="B56" s="20"/>
      <c r="C56" s="21"/>
      <c r="D56" s="20"/>
      <c r="E56" s="20"/>
      <c r="F56" s="21"/>
      <c r="G56" s="21"/>
      <c r="H56" s="20"/>
      <c r="I56" s="21"/>
      <c r="J56" s="20"/>
      <c r="K56" s="20"/>
    </row>
    <row r="57" customFormat="false" ht="15" hidden="false" customHeight="true" outlineLevel="0" collapsed="false">
      <c r="A57" s="20"/>
      <c r="B57" s="20"/>
      <c r="C57" s="21"/>
      <c r="D57" s="20"/>
      <c r="E57" s="20"/>
      <c r="F57" s="21"/>
      <c r="G57" s="21"/>
      <c r="H57" s="20"/>
      <c r="I57" s="21"/>
      <c r="J57" s="20"/>
      <c r="K57" s="20"/>
    </row>
    <row r="58" customFormat="false" ht="15" hidden="false" customHeight="true" outlineLevel="0" collapsed="false">
      <c r="A58" s="20"/>
      <c r="B58" s="20"/>
      <c r="C58" s="21"/>
      <c r="D58" s="20"/>
      <c r="E58" s="20"/>
      <c r="F58" s="21"/>
      <c r="G58" s="21"/>
      <c r="H58" s="20"/>
      <c r="I58" s="21"/>
      <c r="J58" s="20"/>
      <c r="K58" s="20"/>
    </row>
    <row r="59" customFormat="false" ht="15" hidden="false" customHeight="true" outlineLevel="0" collapsed="false">
      <c r="A59" s="20"/>
      <c r="B59" s="20"/>
      <c r="C59" s="21"/>
      <c r="D59" s="20"/>
      <c r="E59" s="20"/>
      <c r="F59" s="21"/>
      <c r="G59" s="21"/>
      <c r="H59" s="20"/>
      <c r="I59" s="21"/>
      <c r="J59" s="20"/>
      <c r="K59" s="20"/>
    </row>
    <row r="60" customFormat="false" ht="15" hidden="false" customHeight="true" outlineLevel="0" collapsed="false">
      <c r="A60" s="20"/>
      <c r="B60" s="20"/>
      <c r="C60" s="21"/>
      <c r="D60" s="20"/>
      <c r="E60" s="20"/>
      <c r="F60" s="21"/>
      <c r="G60" s="21"/>
      <c r="H60" s="20"/>
      <c r="I60" s="21"/>
      <c r="J60" s="20"/>
      <c r="K60" s="20"/>
    </row>
    <row r="61" customFormat="false" ht="15" hidden="false" customHeight="true" outlineLevel="0" collapsed="false">
      <c r="A61" s="20"/>
      <c r="B61" s="20"/>
      <c r="C61" s="21"/>
      <c r="D61" s="20"/>
      <c r="E61" s="20"/>
      <c r="F61" s="21"/>
      <c r="G61" s="21"/>
      <c r="H61" s="20"/>
      <c r="I61" s="21"/>
      <c r="J61" s="20"/>
      <c r="K61" s="20"/>
    </row>
    <row r="62" customFormat="false" ht="15" hidden="false" customHeight="true" outlineLevel="0" collapsed="false">
      <c r="A62" s="20"/>
      <c r="B62" s="20"/>
      <c r="C62" s="21"/>
      <c r="D62" s="20"/>
      <c r="E62" s="20"/>
      <c r="F62" s="21"/>
      <c r="G62" s="21"/>
      <c r="H62" s="20"/>
      <c r="I62" s="21"/>
      <c r="J62" s="20"/>
      <c r="K62" s="20"/>
    </row>
    <row r="63" customFormat="false" ht="15" hidden="false" customHeight="true" outlineLevel="0" collapsed="false">
      <c r="A63" s="20"/>
      <c r="B63" s="20"/>
      <c r="C63" s="21"/>
      <c r="D63" s="20"/>
      <c r="E63" s="20"/>
      <c r="F63" s="21"/>
      <c r="G63" s="21"/>
      <c r="H63" s="20"/>
      <c r="I63" s="21"/>
      <c r="J63" s="20"/>
      <c r="K63" s="20"/>
    </row>
    <row r="64" customFormat="false" ht="15" hidden="false" customHeight="true" outlineLevel="0" collapsed="false">
      <c r="A64" s="20"/>
      <c r="B64" s="20"/>
      <c r="C64" s="21"/>
      <c r="D64" s="20"/>
      <c r="E64" s="20"/>
      <c r="F64" s="21"/>
      <c r="G64" s="21"/>
      <c r="H64" s="20"/>
      <c r="I64" s="21"/>
      <c r="J64" s="20"/>
      <c r="K64" s="20"/>
    </row>
    <row r="65" customFormat="false" ht="15" hidden="false" customHeight="true" outlineLevel="0" collapsed="false">
      <c r="A65" s="20"/>
      <c r="B65" s="20"/>
      <c r="C65" s="21"/>
      <c r="D65" s="20"/>
      <c r="E65" s="20"/>
      <c r="F65" s="21"/>
      <c r="G65" s="21"/>
      <c r="H65" s="20"/>
      <c r="I65" s="21"/>
      <c r="J65" s="20"/>
      <c r="K65" s="20"/>
    </row>
    <row r="66" customFormat="false" ht="15" hidden="false" customHeight="true" outlineLevel="0" collapsed="false">
      <c r="A66" s="20"/>
      <c r="B66" s="20"/>
      <c r="C66" s="21"/>
      <c r="D66" s="20"/>
      <c r="E66" s="20"/>
      <c r="F66" s="21"/>
      <c r="G66" s="21"/>
      <c r="H66" s="20"/>
      <c r="I66" s="21"/>
      <c r="J66" s="20"/>
      <c r="K66" s="20"/>
    </row>
    <row r="67" customFormat="false" ht="15" hidden="false" customHeight="true" outlineLevel="0" collapsed="false">
      <c r="A67" s="20"/>
      <c r="B67" s="20"/>
      <c r="C67" s="21"/>
      <c r="D67" s="20"/>
      <c r="E67" s="20"/>
      <c r="F67" s="21"/>
      <c r="G67" s="21"/>
      <c r="H67" s="20"/>
      <c r="I67" s="21"/>
      <c r="J67" s="20"/>
      <c r="K67" s="20"/>
    </row>
    <row r="68" customFormat="false" ht="15" hidden="false" customHeight="true" outlineLevel="0" collapsed="false">
      <c r="A68" s="20"/>
      <c r="B68" s="20"/>
      <c r="C68" s="21"/>
      <c r="D68" s="20"/>
      <c r="E68" s="20"/>
      <c r="F68" s="21"/>
      <c r="G68" s="21"/>
      <c r="H68" s="20"/>
      <c r="I68" s="21"/>
      <c r="J68" s="20"/>
      <c r="K68" s="20"/>
    </row>
    <row r="69" customFormat="false" ht="15" hidden="false" customHeight="true" outlineLevel="0" collapsed="false">
      <c r="A69" s="20"/>
      <c r="B69" s="20"/>
      <c r="C69" s="21"/>
      <c r="D69" s="20"/>
      <c r="E69" s="20"/>
      <c r="F69" s="21"/>
      <c r="G69" s="21"/>
      <c r="H69" s="20"/>
      <c r="I69" s="21"/>
      <c r="J69" s="20"/>
      <c r="K69" s="20"/>
    </row>
    <row r="70" customFormat="false" ht="15" hidden="false" customHeight="true" outlineLevel="0" collapsed="false">
      <c r="A70" s="20"/>
      <c r="B70" s="20"/>
      <c r="C70" s="21"/>
      <c r="D70" s="20"/>
      <c r="E70" s="20"/>
      <c r="F70" s="21"/>
      <c r="G70" s="21"/>
      <c r="H70" s="20"/>
      <c r="I70" s="21"/>
      <c r="J70" s="20"/>
      <c r="K70" s="20"/>
    </row>
    <row r="71" customFormat="false" ht="15" hidden="false" customHeight="true" outlineLevel="0" collapsed="false">
      <c r="A71" s="20"/>
      <c r="B71" s="20"/>
      <c r="C71" s="21"/>
      <c r="D71" s="20"/>
      <c r="E71" s="20"/>
      <c r="F71" s="21"/>
      <c r="G71" s="21"/>
      <c r="H71" s="20"/>
      <c r="I71" s="21"/>
      <c r="J71" s="20"/>
      <c r="K71" s="20"/>
    </row>
    <row r="72" customFormat="false" ht="15" hidden="false" customHeight="true" outlineLevel="0" collapsed="false">
      <c r="A72" s="20"/>
      <c r="B72" s="20"/>
      <c r="C72" s="21"/>
      <c r="D72" s="20"/>
      <c r="E72" s="20"/>
      <c r="F72" s="21"/>
      <c r="G72" s="21"/>
      <c r="H72" s="20"/>
      <c r="I72" s="21"/>
      <c r="J72" s="20"/>
      <c r="K72" s="20"/>
    </row>
    <row r="73" customFormat="false" ht="15" hidden="false" customHeight="true" outlineLevel="0" collapsed="false">
      <c r="A73" s="20"/>
      <c r="B73" s="20"/>
      <c r="C73" s="21"/>
      <c r="D73" s="20"/>
      <c r="E73" s="20"/>
      <c r="F73" s="21"/>
      <c r="G73" s="21"/>
      <c r="H73" s="20"/>
      <c r="I73" s="21"/>
      <c r="J73" s="20"/>
      <c r="K73" s="20"/>
    </row>
    <row r="74" customFormat="false" ht="15" hidden="false" customHeight="true" outlineLevel="0" collapsed="false">
      <c r="A74" s="20"/>
      <c r="B74" s="20"/>
      <c r="C74" s="21"/>
      <c r="D74" s="20"/>
      <c r="E74" s="20"/>
      <c r="F74" s="21"/>
      <c r="G74" s="21"/>
      <c r="H74" s="20"/>
      <c r="I74" s="21"/>
      <c r="J74" s="20"/>
      <c r="K74" s="20"/>
    </row>
    <row r="75" customFormat="false" ht="15" hidden="false" customHeight="true" outlineLevel="0" collapsed="false">
      <c r="A75" s="20"/>
      <c r="B75" s="20"/>
      <c r="C75" s="21"/>
      <c r="D75" s="20"/>
      <c r="E75" s="20"/>
      <c r="F75" s="21"/>
      <c r="G75" s="21"/>
      <c r="H75" s="20"/>
      <c r="I75" s="21"/>
      <c r="J75" s="20"/>
      <c r="K75" s="20"/>
    </row>
    <row r="76" customFormat="false" ht="15" hidden="false" customHeight="true" outlineLevel="0" collapsed="false">
      <c r="A76" s="20"/>
      <c r="B76" s="20"/>
      <c r="C76" s="21"/>
      <c r="D76" s="20"/>
      <c r="E76" s="20"/>
      <c r="F76" s="21"/>
      <c r="G76" s="21"/>
      <c r="H76" s="20"/>
      <c r="I76" s="21"/>
      <c r="J76" s="20"/>
      <c r="K76" s="20"/>
    </row>
    <row r="77" customFormat="false" ht="15" hidden="false" customHeight="true" outlineLevel="0" collapsed="false">
      <c r="A77" s="20"/>
      <c r="B77" s="20"/>
      <c r="C77" s="21"/>
      <c r="D77" s="20"/>
      <c r="E77" s="20"/>
      <c r="F77" s="21"/>
      <c r="G77" s="21"/>
      <c r="H77" s="20"/>
      <c r="I77" s="21"/>
      <c r="J77" s="20"/>
      <c r="K77" s="20"/>
    </row>
    <row r="78" customFormat="false" ht="15" hidden="false" customHeight="true" outlineLevel="0" collapsed="false">
      <c r="A78" s="20"/>
      <c r="B78" s="20"/>
      <c r="C78" s="21"/>
      <c r="D78" s="20"/>
      <c r="E78" s="20"/>
      <c r="F78" s="21"/>
      <c r="G78" s="21"/>
      <c r="H78" s="20"/>
      <c r="I78" s="21"/>
      <c r="J78" s="20"/>
      <c r="K78" s="20"/>
    </row>
    <row r="79" customFormat="false" ht="15" hidden="false" customHeight="true" outlineLevel="0" collapsed="false">
      <c r="A79" s="20"/>
      <c r="B79" s="20"/>
      <c r="C79" s="21"/>
      <c r="D79" s="20"/>
      <c r="E79" s="20"/>
      <c r="F79" s="21"/>
      <c r="G79" s="21"/>
      <c r="H79" s="20"/>
      <c r="I79" s="21"/>
      <c r="J79" s="20"/>
      <c r="K79" s="20"/>
    </row>
    <row r="80" customFormat="false" ht="15" hidden="false" customHeight="true" outlineLevel="0" collapsed="false">
      <c r="A80" s="20"/>
      <c r="B80" s="20"/>
      <c r="C80" s="21"/>
      <c r="D80" s="20"/>
      <c r="E80" s="20"/>
      <c r="F80" s="21"/>
      <c r="G80" s="21"/>
      <c r="H80" s="20"/>
      <c r="I80" s="21"/>
      <c r="J80" s="20"/>
      <c r="K80" s="20"/>
    </row>
    <row r="81" customFormat="false" ht="15" hidden="false" customHeight="true" outlineLevel="0" collapsed="false">
      <c r="A81" s="20"/>
      <c r="B81" s="20"/>
      <c r="C81" s="21"/>
      <c r="D81" s="20"/>
      <c r="E81" s="20"/>
      <c r="F81" s="21"/>
      <c r="G81" s="21"/>
      <c r="H81" s="20"/>
      <c r="I81" s="21"/>
      <c r="J81" s="20"/>
      <c r="K81" s="20"/>
    </row>
    <row r="82" customFormat="false" ht="15" hidden="false" customHeight="true" outlineLevel="0" collapsed="false">
      <c r="A82" s="20"/>
      <c r="B82" s="20"/>
      <c r="C82" s="21"/>
      <c r="D82" s="20"/>
      <c r="E82" s="20"/>
      <c r="F82" s="21"/>
      <c r="G82" s="21"/>
      <c r="H82" s="20"/>
      <c r="I82" s="21"/>
      <c r="J82" s="20"/>
      <c r="K82" s="20"/>
    </row>
    <row r="83" customFormat="false" ht="15" hidden="false" customHeight="true" outlineLevel="0" collapsed="false">
      <c r="A83" s="20"/>
      <c r="B83" s="20"/>
      <c r="C83" s="21"/>
      <c r="D83" s="20"/>
      <c r="E83" s="20"/>
      <c r="F83" s="21"/>
      <c r="G83" s="21"/>
      <c r="H83" s="20"/>
      <c r="I83" s="21"/>
      <c r="J83" s="20"/>
      <c r="K83" s="20"/>
    </row>
    <row r="84" customFormat="false" ht="15" hidden="false" customHeight="true" outlineLevel="0" collapsed="false">
      <c r="A84" s="20"/>
      <c r="B84" s="20"/>
      <c r="C84" s="21"/>
      <c r="D84" s="20"/>
      <c r="E84" s="20"/>
      <c r="F84" s="21"/>
      <c r="G84" s="21"/>
      <c r="H84" s="20"/>
      <c r="I84" s="21"/>
      <c r="J84" s="20"/>
      <c r="K84" s="20"/>
    </row>
    <row r="85" customFormat="false" ht="15" hidden="false" customHeight="true" outlineLevel="0" collapsed="false">
      <c r="A85" s="20"/>
      <c r="B85" s="20"/>
      <c r="C85" s="21"/>
      <c r="D85" s="20"/>
      <c r="E85" s="20"/>
      <c r="F85" s="21"/>
      <c r="G85" s="21"/>
      <c r="H85" s="20"/>
      <c r="I85" s="21"/>
      <c r="J85" s="20"/>
      <c r="K85" s="20"/>
    </row>
    <row r="86" customFormat="false" ht="15" hidden="false" customHeight="true" outlineLevel="0" collapsed="false">
      <c r="A86" s="20"/>
      <c r="B86" s="20"/>
      <c r="C86" s="21"/>
      <c r="D86" s="20"/>
      <c r="E86" s="20"/>
      <c r="F86" s="21"/>
      <c r="G86" s="21"/>
      <c r="H86" s="20"/>
      <c r="I86" s="21"/>
      <c r="J86" s="20"/>
      <c r="K86" s="20"/>
    </row>
    <row r="87" customFormat="false" ht="15" hidden="false" customHeight="true" outlineLevel="0" collapsed="false">
      <c r="A87" s="20"/>
      <c r="B87" s="20"/>
      <c r="C87" s="21"/>
      <c r="D87" s="20"/>
      <c r="E87" s="20"/>
      <c r="F87" s="21"/>
      <c r="G87" s="21"/>
      <c r="H87" s="20"/>
      <c r="I87" s="21"/>
      <c r="J87" s="20"/>
      <c r="K87" s="20"/>
    </row>
    <row r="88" customFormat="false" ht="15" hidden="false" customHeight="true" outlineLevel="0" collapsed="false">
      <c r="A88" s="20"/>
      <c r="B88" s="20"/>
      <c r="C88" s="21"/>
      <c r="D88" s="20"/>
      <c r="E88" s="20"/>
      <c r="F88" s="21"/>
      <c r="G88" s="21"/>
      <c r="H88" s="20"/>
      <c r="I88" s="21"/>
      <c r="J88" s="20"/>
      <c r="K88" s="20"/>
    </row>
    <row r="89" customFormat="false" ht="15" hidden="false" customHeight="true" outlineLevel="0" collapsed="false">
      <c r="A89" s="20"/>
      <c r="B89" s="20"/>
      <c r="C89" s="21"/>
      <c r="D89" s="20"/>
      <c r="E89" s="20"/>
      <c r="F89" s="21"/>
      <c r="G89" s="21"/>
      <c r="H89" s="20"/>
      <c r="I89" s="21"/>
      <c r="J89" s="20"/>
      <c r="K89" s="20"/>
    </row>
    <row r="90" customFormat="false" ht="15" hidden="false" customHeight="true" outlineLevel="0" collapsed="false">
      <c r="A90" s="20"/>
      <c r="B90" s="20"/>
      <c r="C90" s="21"/>
      <c r="D90" s="20"/>
      <c r="E90" s="20"/>
      <c r="F90" s="21"/>
      <c r="G90" s="21"/>
      <c r="H90" s="20"/>
      <c r="I90" s="21"/>
      <c r="J90" s="20"/>
      <c r="K90" s="20"/>
    </row>
    <row r="91" customFormat="false" ht="15" hidden="false" customHeight="true" outlineLevel="0" collapsed="false">
      <c r="A91" s="20"/>
      <c r="B91" s="20"/>
      <c r="C91" s="21"/>
      <c r="D91" s="20"/>
      <c r="E91" s="20"/>
      <c r="F91" s="21"/>
      <c r="G91" s="21"/>
      <c r="H91" s="20"/>
      <c r="I91" s="21"/>
      <c r="J91" s="20"/>
      <c r="K91" s="20"/>
    </row>
    <row r="92" customFormat="false" ht="15" hidden="false" customHeight="true" outlineLevel="0" collapsed="false">
      <c r="A92" s="20"/>
      <c r="B92" s="20"/>
      <c r="C92" s="21"/>
      <c r="D92" s="20"/>
      <c r="E92" s="20"/>
      <c r="F92" s="21"/>
      <c r="G92" s="21"/>
      <c r="H92" s="20"/>
      <c r="I92" s="21"/>
      <c r="J92" s="20"/>
      <c r="K92" s="20"/>
    </row>
    <row r="93" customFormat="false" ht="15" hidden="false" customHeight="true" outlineLevel="0" collapsed="false">
      <c r="A93" s="20"/>
      <c r="B93" s="20"/>
      <c r="C93" s="21"/>
      <c r="D93" s="20"/>
      <c r="E93" s="20"/>
      <c r="F93" s="21"/>
      <c r="G93" s="21"/>
      <c r="H93" s="20"/>
      <c r="I93" s="21"/>
      <c r="J93" s="20"/>
      <c r="K93" s="20"/>
    </row>
    <row r="94" customFormat="false" ht="15" hidden="false" customHeight="true" outlineLevel="0" collapsed="false">
      <c r="A94" s="20"/>
      <c r="B94" s="20"/>
      <c r="C94" s="21"/>
      <c r="D94" s="20"/>
      <c r="E94" s="20"/>
      <c r="F94" s="21"/>
      <c r="G94" s="21"/>
      <c r="H94" s="20"/>
      <c r="I94" s="21"/>
      <c r="J94" s="20"/>
      <c r="K94" s="20"/>
    </row>
    <row r="95" customFormat="false" ht="15" hidden="false" customHeight="true" outlineLevel="0" collapsed="false">
      <c r="A95" s="20"/>
      <c r="B95" s="20"/>
      <c r="C95" s="21"/>
      <c r="D95" s="20"/>
      <c r="E95" s="20"/>
      <c r="F95" s="21"/>
      <c r="G95" s="21"/>
      <c r="H95" s="20"/>
      <c r="I95" s="21"/>
      <c r="J95" s="20"/>
      <c r="K95" s="20"/>
    </row>
    <row r="96" customFormat="false" ht="15" hidden="false" customHeight="true" outlineLevel="0" collapsed="false">
      <c r="A96" s="20"/>
      <c r="B96" s="20"/>
      <c r="C96" s="21"/>
      <c r="D96" s="20"/>
      <c r="E96" s="20"/>
      <c r="F96" s="21"/>
      <c r="G96" s="21"/>
      <c r="H96" s="20"/>
      <c r="I96" s="21"/>
      <c r="J96" s="20"/>
      <c r="K96" s="20"/>
    </row>
    <row r="97" customFormat="false" ht="15" hidden="false" customHeight="true" outlineLevel="0" collapsed="false">
      <c r="A97" s="20"/>
      <c r="B97" s="20"/>
      <c r="C97" s="21"/>
      <c r="D97" s="20"/>
      <c r="E97" s="20"/>
      <c r="F97" s="21"/>
      <c r="G97" s="21"/>
      <c r="H97" s="20"/>
      <c r="I97" s="21"/>
      <c r="J97" s="20"/>
      <c r="K97" s="20"/>
    </row>
    <row r="98" customFormat="false" ht="15" hidden="false" customHeight="true" outlineLevel="0" collapsed="false">
      <c r="A98" s="20"/>
      <c r="B98" s="20"/>
      <c r="C98" s="21"/>
      <c r="D98" s="20"/>
      <c r="E98" s="20"/>
      <c r="F98" s="21"/>
      <c r="G98" s="21"/>
      <c r="H98" s="20"/>
      <c r="I98" s="21"/>
      <c r="J98" s="20"/>
      <c r="K98" s="20"/>
    </row>
    <row r="99" customFormat="false" ht="15" hidden="false" customHeight="true" outlineLevel="0" collapsed="false">
      <c r="A99" s="20"/>
      <c r="B99" s="20"/>
      <c r="C99" s="21"/>
      <c r="D99" s="20"/>
      <c r="E99" s="20"/>
      <c r="F99" s="21"/>
      <c r="G99" s="21"/>
      <c r="H99" s="20"/>
      <c r="I99" s="21"/>
      <c r="J99" s="20"/>
      <c r="K99" s="20"/>
    </row>
    <row r="100" customFormat="false" ht="15" hidden="false" customHeight="true" outlineLevel="0" collapsed="false">
      <c r="A100" s="20"/>
      <c r="B100" s="20"/>
      <c r="C100" s="21"/>
      <c r="D100" s="20"/>
      <c r="E100" s="20"/>
      <c r="F100" s="21"/>
      <c r="G100" s="21"/>
      <c r="H100" s="20"/>
      <c r="I100" s="21"/>
      <c r="J100" s="20"/>
      <c r="K100" s="20"/>
    </row>
    <row r="101" customFormat="false" ht="15" hidden="false" customHeight="true" outlineLevel="0" collapsed="false">
      <c r="A101" s="20"/>
      <c r="B101" s="20"/>
      <c r="C101" s="21"/>
      <c r="D101" s="20"/>
      <c r="E101" s="20"/>
      <c r="F101" s="21"/>
      <c r="G101" s="21"/>
      <c r="H101" s="20"/>
      <c r="I101" s="21"/>
      <c r="J101" s="20"/>
      <c r="K101" s="20"/>
    </row>
    <row r="102" customFormat="false" ht="15" hidden="false" customHeight="true" outlineLevel="0" collapsed="false">
      <c r="A102" s="20"/>
      <c r="B102" s="20"/>
      <c r="C102" s="21"/>
      <c r="D102" s="20"/>
      <c r="E102" s="20"/>
      <c r="F102" s="21"/>
      <c r="G102" s="21"/>
      <c r="H102" s="20"/>
      <c r="I102" s="21"/>
      <c r="J102" s="20"/>
      <c r="K102" s="20"/>
    </row>
    <row r="103" customFormat="false" ht="15" hidden="false" customHeight="true" outlineLevel="0" collapsed="false">
      <c r="A103" s="20"/>
      <c r="B103" s="20"/>
      <c r="C103" s="21"/>
      <c r="D103" s="20"/>
      <c r="E103" s="20"/>
      <c r="F103" s="21"/>
      <c r="G103" s="21"/>
      <c r="H103" s="20"/>
      <c r="I103" s="21"/>
      <c r="J103" s="20"/>
      <c r="K103" s="20"/>
    </row>
    <row r="104" customFormat="false" ht="15" hidden="false" customHeight="true" outlineLevel="0" collapsed="false">
      <c r="A104" s="20"/>
      <c r="B104" s="20"/>
      <c r="C104" s="21"/>
      <c r="D104" s="20"/>
      <c r="E104" s="20"/>
      <c r="F104" s="21"/>
      <c r="G104" s="21"/>
      <c r="H104" s="20"/>
      <c r="I104" s="21"/>
      <c r="J104" s="20"/>
      <c r="K104" s="20"/>
    </row>
  </sheetData>
  <conditionalFormatting sqref="J5:J104">
    <cfRule type="cellIs" priority="2" operator="equal" aboveAverage="0" equalAverage="0" bottom="0" percent="0" rank="0" text="" dxfId="3">
      <formula>"Awaiting nursing docs for resubmission"</formula>
    </cfRule>
    <cfRule type="cellIs" priority="3" operator="equal" aboveAverage="0" equalAverage="0" bottom="0" percent="0" rank="0" text="" dxfId="4">
      <formula>"Awaiting response from ACC"</formula>
    </cfRule>
    <cfRule type="cellIs" priority="4" operator="equal" aboveAverage="0" equalAverage="0" bottom="0" percent="0" rank="0" text="" dxfId="2">
      <formula>"Accepted"</formula>
    </cfRule>
    <cfRule type="cellIs" priority="5" operator="equal" aboveAverage="0" equalAverage="0" bottom="0" percent="0" rank="0" text="" dxfId="3">
      <formula>"Declined again"</formula>
    </cfRule>
  </conditionalFormatting>
  <dataValidations count="2">
    <dataValidation allowBlank="true" errorStyle="stop" operator="between" showDropDown="false" showErrorMessage="false" showInputMessage="false" sqref="H5:H104" type="list">
      <formula1>"Pending,Upheld,Overturned,Withdrawn"</formula1>
      <formula2>0</formula2>
    </dataValidation>
    <dataValidation allowBlank="true" errorStyle="stop" operator="between" showDropDown="false" showErrorMessage="false" showInputMessage="false" sqref="J5:J104" type="list">
      <formula1>"Awaiting nursing docs for resubmission,Awaiting response from ACC,Accepted,Declined again"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2026-06-30T10:07:27Z</dcterms:created>
  <dc:creator>openpyxl</dc:creator>
  <dc:description/>
  <dc:language>en-US</dc:language>
  <cp:lastModifiedBy>Prakriti Chhetri</cp:lastModifiedBy>
  <dcterms:modified xsi:type="dcterms:W3CDTF">2026-07-02T04:00:14Z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